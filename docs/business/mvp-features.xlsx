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0" autoFilterDateGrouping="1"/>
  </bookViews>
  <sheets>
    <sheet name="สรุป" sheetId="1" state="visible" r:id="rId1"/>
    <sheet name="ฟีเจอร์ MVP" sheetId="2" state="visible" r:id="rId2"/>
    <sheet name="ข้อกำหนดคุณภาพ (NFR)" sheetId="3" state="visible" r:id="rId3"/>
    <sheet name="กฎธุรกิจ (BR)" sheetId="4" state="visible" r:id="rId4"/>
    <sheet name="หลังเฟส MVP" sheetId="5" state="visible" r:id="rId5"/>
  </sheets>
  <definedNames>
    <definedName name="_xlnm._FilterDatabase" localSheetId="1" hidden="1">'ฟีเจอร์ MVP'!$A$4:$O$134</definedName>
    <definedName name="_xlnm._FilterDatabase" localSheetId="2" hidden="1">'ข้อกำหนดคุณภาพ (NFR)'!$A$4:$G$77</definedName>
    <definedName name="_xlnm._FilterDatabase" localSheetId="4" hidden="1">'หลังเฟส MVP'!$A$4:$H$54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Tahoma"/>
      <charset val="1"/>
      <b val="1"/>
      <color rgb="FF0B2A4A"/>
      <sz val="14"/>
    </font>
    <font>
      <name val="Tahoma"/>
      <charset val="1"/>
      <color rgb="FF5F6673"/>
      <sz val="9"/>
    </font>
    <font>
      <name val="Tahoma"/>
      <charset val="1"/>
      <b val="1"/>
      <color rgb="FFFFFFFF"/>
      <sz val="10"/>
    </font>
    <font>
      <name val="Tahoma"/>
      <charset val="1"/>
      <sz val="10"/>
    </font>
    <font>
      <name val="Tahoma"/>
      <charset val="1"/>
      <b val="1"/>
      <sz val="10"/>
    </font>
    <font>
      <name val="Tahoma"/>
      <charset val="1"/>
      <b val="1"/>
      <color rgb="FF0B2A4A"/>
      <sz val="11"/>
    </font>
    <font>
      <name val="DejaVu Sans"/>
      <family val="2"/>
      <sz val="10"/>
    </font>
  </fonts>
  <fills count="5">
    <fill>
      <patternFill/>
    </fill>
    <fill>
      <patternFill patternType="gray125"/>
    </fill>
    <fill>
      <patternFill patternType="solid">
        <fgColor rgb="FF0B2A4A"/>
        <bgColor rgb="FF333333"/>
      </patternFill>
    </fill>
    <fill>
      <patternFill patternType="solid">
        <fgColor rgb="FFEAF3FC"/>
        <bgColor rgb="FFFF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9" fontId="5" fillId="3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3FC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673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="90" zoomScaleNormal="90" workbookViewId="0">
      <pane ySplit="4" topLeftCell="A5" activePane="bottomLeft" state="frozen"/>
      <selection pane="bottomLeft" activeCell="A1" sqref="A1"/>
    </sheetView>
  </sheetViews>
  <sheetFormatPr baseColWidth="8" defaultColWidth="8.5703125" defaultRowHeight="15" customHeight="0"/>
  <cols>
    <col width="14" customWidth="1" min="1" max="1"/>
    <col width="42" customWidth="1" min="2" max="2"/>
    <col width="16" customWidth="1" min="3" max="3"/>
    <col width="13" customWidth="1" min="4" max="4"/>
    <col width="9" customWidth="1" min="5" max="5"/>
    <col width="9" customWidth="1" min="6" max="6"/>
    <col width="9" customWidth="1" min="7" max="7"/>
    <col width="12" customWidth="1" min="8" max="8"/>
    <col width="11" customWidth="1" min="9" max="9"/>
    <col width="11" customWidth="1" min="10" max="10"/>
    <col width="10" customWidth="1" min="11" max="11"/>
    <col width="11" customWidth="1" min="12" max="12"/>
    <col width="12" customWidth="1" min="13" max="13"/>
  </cols>
  <sheetData>
    <row r="1" ht="17.85" customHeight="1">
      <c r="A1" s="1" t="inlineStr">
        <is>
          <t>นิติมิตร — รายการฟีเจอร์ MVP (เฟส P0 + P1)</t>
        </is>
      </c>
    </row>
    <row r="2">
      <c r="A2" s="2" t="inlineStr">
        <is>
          <t>ที่มา: docs/02-srs.md (ฉบับ 1.8, 1 ต.ค. 2569) · สถานะตรวจเทียบโค้ดและหน้าจอจริง ณ 1 ต.ค. 2569 · ตัวเลขทุกช่องในหน้านี้คำนวณจากชีต “ฟีเจอร์ MVP” อัตโนมัติ</t>
        </is>
      </c>
    </row>
    <row r="4" ht="30" customHeight="1">
      <c r="A4" s="3" t="inlineStr">
        <is>
          <t>รหัสโมดูล</t>
        </is>
      </c>
      <c r="B4" s="3" t="inlineStr">
        <is>
          <t>โมดูล</t>
        </is>
      </c>
      <c r="C4" s="3" t="inlineStr">
        <is>
          <t>กลุ่ม requirement</t>
        </is>
      </c>
      <c r="D4" s="3" t="inlineStr">
        <is>
          <t>จำนวนฟีเจอร์</t>
        </is>
      </c>
      <c r="E4" s="3" t="inlineStr">
        <is>
          <t>Must</t>
        </is>
      </c>
      <c r="F4" s="3" t="inlineStr">
        <is>
          <t>Should</t>
        </is>
      </c>
      <c r="G4" s="3" t="inlineStr">
        <is>
          <t>Could</t>
        </is>
      </c>
      <c r="H4" s="3" t="inlineStr">
        <is>
          <t>P0 (วางฐาน)</t>
        </is>
      </c>
      <c r="I4" s="3" t="inlineStr">
        <is>
          <t>P1 (MVP)</t>
        </is>
      </c>
      <c r="J4" s="3" t="inlineStr">
        <is>
          <t>เสร็จแล้ว</t>
        </is>
      </c>
      <c r="K4" s="3" t="inlineStr">
        <is>
          <t>% เสร็จ</t>
        </is>
      </c>
      <c r="L4" s="3" t="inlineStr">
        <is>
          <t>กำลังทำ</t>
        </is>
      </c>
      <c r="M4" s="3" t="inlineStr">
        <is>
          <t>ยังไม่เริ่ม</t>
        </is>
      </c>
    </row>
    <row r="5">
      <c r="A5" s="4" t="inlineStr">
        <is>
          <t>M1</t>
        </is>
      </c>
      <c r="B5" s="5" t="inlineStr">
        <is>
          <t>บัญชีผู้ใช้และการเข้าถึง</t>
        </is>
      </c>
      <c r="C5" s="4" t="inlineStr">
        <is>
          <t>FR-AUTH</t>
        </is>
      </c>
      <c r="D5" s="4">
        <f>COUNTIFS('ฟีเจอร์ MVP'!$B:$B,$C5&amp;"-*")</f>
        <v>23</v>
      </c>
      <c r="E5" s="4">
        <f>COUNTIFS('ฟีเจอร์ MVP'!$B:$B,$C5&amp;"-*",'ฟีเจอร์ MVP'!$H:$H,"Must*")</f>
        <v>17</v>
      </c>
      <c r="F5" s="4">
        <f>COUNTIFS('ฟีเจอร์ MVP'!$B:$B,$C5&amp;"-*",'ฟีเจอร์ MVP'!$H:$H,"Should*")</f>
        <v>6</v>
      </c>
      <c r="G5" s="4">
        <f>COUNTIFS('ฟีเจอร์ MVP'!$B:$B,$C5&amp;"-*",'ฟีเจอร์ MVP'!$H:$H,"Could*")</f>
        <v>0</v>
      </c>
      <c r="H5" s="4">
        <f>COUNTIFS('ฟีเจอร์ MVP'!$B:$B,$C5&amp;"-*",'ฟีเจอร์ MVP'!$I:$I,"P0")</f>
        <v>6</v>
      </c>
      <c r="I5" s="4">
        <f>COUNTIFS('ฟีเจอร์ MVP'!$B:$B,$C5&amp;"-*",'ฟีเจอร์ MVP'!$I:$I,"P1")</f>
        <v>17</v>
      </c>
      <c r="J5" s="4">
        <f>COUNTIFS('ฟีเจอร์ MVP'!$B:$B,$C5&amp;"-*",'ฟีเจอร์ MVP'!$L:$L,"เสร็จแล้ว")</f>
        <v>13</v>
      </c>
      <c r="K5" s="6">
        <f>IFERROR(J5/D5,0)</f>
        <v>0.5652173913043478</v>
      </c>
      <c r="L5" s="4">
        <f>COUNTIFS('ฟีเจอร์ MVP'!$B:$B,$C5&amp;"-*",'ฟีเจอร์ MVP'!$L:$L,"กำลังทำ")</f>
        <v>10</v>
      </c>
      <c r="M5" s="4">
        <f>COUNTIFS('ฟีเจอร์ MVP'!$B:$B,$C5&amp;"-*",'ฟีเจอร์ MVP'!$L:$L,"ยังไม่เริ่ม")</f>
        <v>0</v>
      </c>
    </row>
    <row r="6">
      <c r="A6" s="4" t="inlineStr">
        <is>
          <t>M2</t>
        </is>
      </c>
      <c r="B6" s="5" t="inlineStr">
        <is>
          <t>แชทถามกฎหมาย (หน้าจอและการใช้งาน)</t>
        </is>
      </c>
      <c r="C6" s="4" t="inlineStr">
        <is>
          <t>FR-CHAT</t>
        </is>
      </c>
      <c r="D6" s="4">
        <f>COUNTIFS('ฟีเจอร์ MVP'!$B:$B,$C6&amp;"-*")</f>
        <v>31</v>
      </c>
      <c r="E6" s="4">
        <f>COUNTIFS('ฟีเจอร์ MVP'!$B:$B,$C6&amp;"-*",'ฟีเจอร์ MVP'!$H:$H,"Must*")</f>
        <v>16</v>
      </c>
      <c r="F6" s="4">
        <f>COUNTIFS('ฟีเจอร์ MVP'!$B:$B,$C6&amp;"-*",'ฟีเจอร์ MVP'!$H:$H,"Should*")</f>
        <v>14</v>
      </c>
      <c r="G6" s="4">
        <f>COUNTIFS('ฟีเจอร์ MVP'!$B:$B,$C6&amp;"-*",'ฟีเจอร์ MVP'!$H:$H,"Could*")</f>
        <v>1</v>
      </c>
      <c r="H6" s="4">
        <f>COUNTIFS('ฟีเจอร์ MVP'!$B:$B,$C6&amp;"-*",'ฟีเจอร์ MVP'!$I:$I,"P0")</f>
        <v>0</v>
      </c>
      <c r="I6" s="4">
        <f>COUNTIFS('ฟีเจอร์ MVP'!$B:$B,$C6&amp;"-*",'ฟีเจอร์ MVP'!$I:$I,"P1")</f>
        <v>31</v>
      </c>
      <c r="J6" s="4">
        <f>COUNTIFS('ฟีเจอร์ MVP'!$B:$B,$C6&amp;"-*",'ฟีเจอร์ MVP'!$L:$L,"เสร็จแล้ว")</f>
        <v>23</v>
      </c>
      <c r="K6" s="6">
        <f>IFERROR(J6/D6,0)</f>
        <v>0.7419354838709677</v>
      </c>
      <c r="L6" s="4">
        <f>COUNTIFS('ฟีเจอร์ MVP'!$B:$B,$C6&amp;"-*",'ฟีเจอร์ MVP'!$L:$L,"กำลังทำ")</f>
        <v>8</v>
      </c>
      <c r="M6" s="4">
        <f>COUNTIFS('ฟีเจอร์ MVP'!$B:$B,$C6&amp;"-*",'ฟีเจอร์ MVP'!$L:$L,"ยังไม่เริ่ม")</f>
        <v>0</v>
      </c>
    </row>
    <row r="7" ht="27.5">
      <c r="A7" s="4" t="inlineStr">
        <is>
          <t>M2</t>
        </is>
      </c>
      <c r="B7" s="5" t="inlineStr">
        <is>
          <t>แชทถามกฎหมาย (เครื่องตอบ/ค้นหา/Guardrails)</t>
        </is>
      </c>
      <c r="C7" s="4" t="inlineStr">
        <is>
          <t>FR-AI</t>
        </is>
      </c>
      <c r="D7" s="4">
        <f>COUNTIFS('ฟีเจอร์ MVP'!$B:$B,$C7&amp;"-*")</f>
        <v>14</v>
      </c>
      <c r="E7" s="4">
        <f>COUNTIFS('ฟีเจอร์ MVP'!$B:$B,$C7&amp;"-*",'ฟีเจอร์ MVP'!$H:$H,"Must*")</f>
        <v>13</v>
      </c>
      <c r="F7" s="4">
        <f>COUNTIFS('ฟีเจอร์ MVP'!$B:$B,$C7&amp;"-*",'ฟีเจอร์ MVP'!$H:$H,"Should*")</f>
        <v>1</v>
      </c>
      <c r="G7" s="4">
        <f>COUNTIFS('ฟีเจอร์ MVP'!$B:$B,$C7&amp;"-*",'ฟีเจอร์ MVP'!$H:$H,"Could*")</f>
        <v>0</v>
      </c>
      <c r="H7" s="4">
        <f>COUNTIFS('ฟีเจอร์ MVP'!$B:$B,$C7&amp;"-*",'ฟีเจอร์ MVP'!$I:$I,"P0")</f>
        <v>0</v>
      </c>
      <c r="I7" s="4">
        <f>COUNTIFS('ฟีเจอร์ MVP'!$B:$B,$C7&amp;"-*",'ฟีเจอร์ MVP'!$I:$I,"P1")</f>
        <v>14</v>
      </c>
      <c r="J7" s="4">
        <f>COUNTIFS('ฟีเจอร์ MVP'!$B:$B,$C7&amp;"-*",'ฟีเจอร์ MVP'!$L:$L,"เสร็จแล้ว")</f>
        <v>6</v>
      </c>
      <c r="K7" s="6">
        <f>IFERROR(J7/D7,0)</f>
        <v>0.42857142857142855</v>
      </c>
      <c r="L7" s="4">
        <f>COUNTIFS('ฟีเจอร์ MVP'!$B:$B,$C7&amp;"-*",'ฟีเจอร์ MVP'!$L:$L,"กำลังทำ")</f>
        <v>8</v>
      </c>
      <c r="M7" s="4">
        <f>COUNTIFS('ฟีเจอร์ MVP'!$B:$B,$C7&amp;"-*",'ฟีเจอร์ MVP'!$L:$L,"ยังไม่เริ่ม")</f>
        <v>0</v>
      </c>
    </row>
    <row r="8">
      <c r="A8" s="4" t="inlineStr">
        <is>
          <t>M3</t>
        </is>
      </c>
      <c r="B8" s="5" t="inlineStr">
        <is>
          <t>คลังความรู้</t>
        </is>
      </c>
      <c r="C8" s="4" t="inlineStr">
        <is>
          <t>FR-KB</t>
        </is>
      </c>
      <c r="D8" s="4">
        <f>COUNTIFS('ฟีเจอร์ MVP'!$B:$B,$C8&amp;"-*")</f>
        <v>12</v>
      </c>
      <c r="E8" s="4">
        <f>COUNTIFS('ฟีเจอร์ MVP'!$B:$B,$C8&amp;"-*",'ฟีเจอร์ MVP'!$H:$H,"Must*")</f>
        <v>10</v>
      </c>
      <c r="F8" s="4">
        <f>COUNTIFS('ฟีเจอร์ MVP'!$B:$B,$C8&amp;"-*",'ฟีเจอร์ MVP'!$H:$H,"Should*")</f>
        <v>2</v>
      </c>
      <c r="G8" s="4">
        <f>COUNTIFS('ฟีเจอร์ MVP'!$B:$B,$C8&amp;"-*",'ฟีเจอร์ MVP'!$H:$H,"Could*")</f>
        <v>0</v>
      </c>
      <c r="H8" s="4">
        <f>COUNTIFS('ฟีเจอร์ MVP'!$B:$B,$C8&amp;"-*",'ฟีเจอร์ MVP'!$I:$I,"P0")</f>
        <v>0</v>
      </c>
      <c r="I8" s="4">
        <f>COUNTIFS('ฟีเจอร์ MVP'!$B:$B,$C8&amp;"-*",'ฟีเจอร์ MVP'!$I:$I,"P1")</f>
        <v>12</v>
      </c>
      <c r="J8" s="4">
        <f>COUNTIFS('ฟีเจอร์ MVP'!$B:$B,$C8&amp;"-*",'ฟีเจอร์ MVP'!$L:$L,"เสร็จแล้ว")</f>
        <v>5</v>
      </c>
      <c r="K8" s="6">
        <f>IFERROR(J8/D8,0)</f>
        <v>0.4166666666666667</v>
      </c>
      <c r="L8" s="4">
        <f>COUNTIFS('ฟีเจอร์ MVP'!$B:$B,$C8&amp;"-*",'ฟีเจอร์ MVP'!$L:$L,"กำลังทำ")</f>
        <v>7</v>
      </c>
      <c r="M8" s="4">
        <f>COUNTIFS('ฟีเจอร์ MVP'!$B:$B,$C8&amp;"-*",'ฟีเจอร์ MVP'!$L:$L,"ยังไม่เริ่ม")</f>
        <v>0</v>
      </c>
    </row>
    <row r="9">
      <c r="A9" s="4" t="inlineStr">
        <is>
          <t>M5</t>
        </is>
      </c>
      <c r="B9" s="5" t="inlineStr">
        <is>
          <t>คู่มือขั้นตอน</t>
        </is>
      </c>
      <c r="C9" s="4" t="inlineStr">
        <is>
          <t>FR-GUIDE</t>
        </is>
      </c>
      <c r="D9" s="4">
        <f>COUNTIFS('ฟีเจอร์ MVP'!$B:$B,$C9&amp;"-*")</f>
        <v>7</v>
      </c>
      <c r="E9" s="4">
        <f>COUNTIFS('ฟีเจอร์ MVP'!$B:$B,$C9&amp;"-*",'ฟีเจอร์ MVP'!$H:$H,"Must*")</f>
        <v>3</v>
      </c>
      <c r="F9" s="4">
        <f>COUNTIFS('ฟีเจอร์ MVP'!$B:$B,$C9&amp;"-*",'ฟีเจอร์ MVP'!$H:$H,"Should*")</f>
        <v>4</v>
      </c>
      <c r="G9" s="4">
        <f>COUNTIFS('ฟีเจอร์ MVP'!$B:$B,$C9&amp;"-*",'ฟีเจอร์ MVP'!$H:$H,"Could*")</f>
        <v>0</v>
      </c>
      <c r="H9" s="4">
        <f>COUNTIFS('ฟีเจอร์ MVP'!$B:$B,$C9&amp;"-*",'ฟีเจอร์ MVP'!$I:$I,"P0")</f>
        <v>0</v>
      </c>
      <c r="I9" s="4">
        <f>COUNTIFS('ฟีเจอร์ MVP'!$B:$B,$C9&amp;"-*",'ฟีเจอร์ MVP'!$I:$I,"P1")</f>
        <v>7</v>
      </c>
      <c r="J9" s="4">
        <f>COUNTIFS('ฟีเจอร์ MVP'!$B:$B,$C9&amp;"-*",'ฟีเจอร์ MVP'!$L:$L,"เสร็จแล้ว")</f>
        <v>7</v>
      </c>
      <c r="K9" s="6">
        <f>IFERROR(J9/D9,0)</f>
        <v>1.0</v>
      </c>
      <c r="L9" s="4">
        <f>COUNTIFS('ฟีเจอร์ MVP'!$B:$B,$C9&amp;"-*",'ฟีเจอร์ MVP'!$L:$L,"กำลังทำ")</f>
        <v>0</v>
      </c>
      <c r="M9" s="4">
        <f>COUNTIFS('ฟีเจอร์ MVP'!$B:$B,$C9&amp;"-*",'ฟีเจอร์ MVP'!$L:$L,"ยังไม่เริ่ม")</f>
        <v>0</v>
      </c>
    </row>
    <row r="10">
      <c r="A10" s="4" t="inlineStr">
        <is>
          <t>M6</t>
        </is>
      </c>
      <c r="B10" s="5" t="inlineStr">
        <is>
          <t>แบบหนังสือ</t>
        </is>
      </c>
      <c r="C10" s="4" t="inlineStr">
        <is>
          <t>FR-TPL</t>
        </is>
      </c>
      <c r="D10" s="4">
        <f>COUNTIFS('ฟีเจอร์ MVP'!$B:$B,$C10&amp;"-*")</f>
        <v>9</v>
      </c>
      <c r="E10" s="4">
        <f>COUNTIFS('ฟีเจอร์ MVP'!$B:$B,$C10&amp;"-*",'ฟีเจอร์ MVP'!$H:$H,"Must*")</f>
        <v>8</v>
      </c>
      <c r="F10" s="4">
        <f>COUNTIFS('ฟีเจอร์ MVP'!$B:$B,$C10&amp;"-*",'ฟีเจอร์ MVP'!$H:$H,"Should*")</f>
        <v>1</v>
      </c>
      <c r="G10" s="4">
        <f>COUNTIFS('ฟีเจอร์ MVP'!$B:$B,$C10&amp;"-*",'ฟีเจอร์ MVP'!$H:$H,"Could*")</f>
        <v>0</v>
      </c>
      <c r="H10" s="4">
        <f>COUNTIFS('ฟีเจอร์ MVP'!$B:$B,$C10&amp;"-*",'ฟีเจอร์ MVP'!$I:$I,"P0")</f>
        <v>0</v>
      </c>
      <c r="I10" s="4">
        <f>COUNTIFS('ฟีเจอร์ MVP'!$B:$B,$C10&amp;"-*",'ฟีเจอร์ MVP'!$I:$I,"P1")</f>
        <v>9</v>
      </c>
      <c r="J10" s="4">
        <f>COUNTIFS('ฟีเจอร์ MVP'!$B:$B,$C10&amp;"-*",'ฟีเจอร์ MVP'!$L:$L,"เสร็จแล้ว")</f>
        <v>9</v>
      </c>
      <c r="K10" s="6">
        <f>IFERROR(J10/D10,0)</f>
        <v>1.0</v>
      </c>
      <c r="L10" s="4">
        <f>COUNTIFS('ฟีเจอร์ MVP'!$B:$B,$C10&amp;"-*",'ฟีเจอร์ MVP'!$L:$L,"กำลังทำ")</f>
        <v>0</v>
      </c>
      <c r="M10" s="4">
        <f>COUNTIFS('ฟีเจอร์ MVP'!$B:$B,$C10&amp;"-*",'ฟีเจอร์ MVP'!$L:$L,"ยังไม่เริ่ม")</f>
        <v>0</v>
      </c>
    </row>
    <row r="11">
      <c r="A11" s="4" t="inlineStr">
        <is>
          <t>M10</t>
        </is>
      </c>
      <c r="B11" s="5" t="inlineStr">
        <is>
          <t>ระบบหลังบ้าน</t>
        </is>
      </c>
      <c r="C11" s="4" t="inlineStr">
        <is>
          <t>FR-ADM</t>
        </is>
      </c>
      <c r="D11" s="4">
        <f>COUNTIFS('ฟีเจอร์ MVP'!$B:$B,$C11&amp;"-*")</f>
        <v>17</v>
      </c>
      <c r="E11" s="4">
        <f>COUNTIFS('ฟีเจอร์ MVP'!$B:$B,$C11&amp;"-*",'ฟีเจอร์ MVP'!$H:$H,"Must*")</f>
        <v>13</v>
      </c>
      <c r="F11" s="4">
        <f>COUNTIFS('ฟีเจอร์ MVP'!$B:$B,$C11&amp;"-*",'ฟีเจอร์ MVP'!$H:$H,"Should*")</f>
        <v>3</v>
      </c>
      <c r="G11" s="4">
        <f>COUNTIFS('ฟีเจอร์ MVP'!$B:$B,$C11&amp;"-*",'ฟีเจอร์ MVP'!$H:$H,"Could*")</f>
        <v>1</v>
      </c>
      <c r="H11" s="4">
        <f>COUNTIFS('ฟีเจอร์ MVP'!$B:$B,$C11&amp;"-*",'ฟีเจอร์ MVP'!$I:$I,"P0")</f>
        <v>1</v>
      </c>
      <c r="I11" s="4">
        <f>COUNTIFS('ฟีเจอร์ MVP'!$B:$B,$C11&amp;"-*",'ฟีเจอร์ MVP'!$I:$I,"P1")</f>
        <v>16</v>
      </c>
      <c r="J11" s="4">
        <f>COUNTIFS('ฟีเจอร์ MVP'!$B:$B,$C11&amp;"-*",'ฟีเจอร์ MVP'!$L:$L,"เสร็จแล้ว")</f>
        <v>9</v>
      </c>
      <c r="K11" s="6">
        <f>IFERROR(J11/D11,0)</f>
        <v>0.5294117647058824</v>
      </c>
      <c r="L11" s="4">
        <f>COUNTIFS('ฟีเจอร์ MVP'!$B:$B,$C11&amp;"-*",'ฟีเจอร์ MVP'!$L:$L,"กำลังทำ")</f>
        <v>8</v>
      </c>
      <c r="M11" s="4">
        <f>COUNTIFS('ฟีเจอร์ MVP'!$B:$B,$C11&amp;"-*",'ฟีเจอร์ MVP'!$L:$L,"ยังไม่เริ่ม")</f>
        <v>0</v>
      </c>
    </row>
    <row r="12">
      <c r="A12" s="4" t="inlineStr">
        <is>
          <t>M11</t>
        </is>
      </c>
      <c r="B12" s="5" t="inlineStr">
        <is>
          <t>พื้นที่ทำงานองค์กร</t>
        </is>
      </c>
      <c r="C12" s="4" t="inlineStr">
        <is>
          <t>FR-ORG</t>
        </is>
      </c>
      <c r="D12" s="4">
        <f>COUNTIFS('ฟีเจอร์ MVP'!$B:$B,$C12&amp;"-*")</f>
        <v>11</v>
      </c>
      <c r="E12" s="4">
        <f>COUNTIFS('ฟีเจอร์ MVP'!$B:$B,$C12&amp;"-*",'ฟีเจอร์ MVP'!$H:$H,"Must*")</f>
        <v>11</v>
      </c>
      <c r="F12" s="4">
        <f>COUNTIFS('ฟีเจอร์ MVP'!$B:$B,$C12&amp;"-*",'ฟีเจอร์ MVP'!$H:$H,"Should*")</f>
        <v>0</v>
      </c>
      <c r="G12" s="4">
        <f>COUNTIFS('ฟีเจอร์ MVP'!$B:$B,$C12&amp;"-*",'ฟีเจอร์ MVP'!$H:$H,"Could*")</f>
        <v>0</v>
      </c>
      <c r="H12" s="4">
        <f>COUNTIFS('ฟีเจอร์ MVP'!$B:$B,$C12&amp;"-*",'ฟีเจอร์ MVP'!$I:$I,"P0")</f>
        <v>0</v>
      </c>
      <c r="I12" s="4">
        <f>COUNTIFS('ฟีเจอร์ MVP'!$B:$B,$C12&amp;"-*",'ฟีเจอร์ MVP'!$I:$I,"P1")</f>
        <v>11</v>
      </c>
      <c r="J12" s="4">
        <f>COUNTIFS('ฟีเจอร์ MVP'!$B:$B,$C12&amp;"-*",'ฟีเจอร์ MVP'!$L:$L,"เสร็จแล้ว")</f>
        <v>2</v>
      </c>
      <c r="K12" s="6">
        <f>IFERROR(J12/D12,0)</f>
        <v>0.18181818181818182</v>
      </c>
      <c r="L12" s="4">
        <f>COUNTIFS('ฟีเจอร์ MVP'!$B:$B,$C12&amp;"-*",'ฟีเจอร์ MVP'!$L:$L,"กำลังทำ")</f>
        <v>9</v>
      </c>
      <c r="M12" s="4">
        <f>COUNTIFS('ฟีเจอร์ MVP'!$B:$B,$C12&amp;"-*",'ฟีเจอร์ MVP'!$L:$L,"ยังไม่เริ่ม")</f>
        <v>0</v>
      </c>
    </row>
    <row r="13">
      <c r="A13" s="4" t="inlineStr">
        <is>
          <t>M12</t>
        </is>
      </c>
      <c r="B13" s="5" t="inlineStr">
        <is>
          <t>ตรวจสัญญา</t>
        </is>
      </c>
      <c r="C13" s="4" t="inlineStr">
        <is>
          <t>FR-CR</t>
        </is>
      </c>
      <c r="D13" s="4">
        <f>COUNTIFS('ฟีเจอร์ MVP'!$B:$B,$C13&amp;"-*")</f>
        <v>6</v>
      </c>
      <c r="E13" s="4">
        <f>COUNTIFS('ฟีเจอร์ MVP'!$B:$B,$C13&amp;"-*",'ฟีเจอร์ MVP'!$H:$H,"Must*")</f>
        <v>6</v>
      </c>
      <c r="F13" s="4">
        <f>COUNTIFS('ฟีเจอร์ MVP'!$B:$B,$C13&amp;"-*",'ฟีเจอร์ MVP'!$H:$H,"Should*")</f>
        <v>0</v>
      </c>
      <c r="G13" s="4">
        <f>COUNTIFS('ฟีเจอร์ MVP'!$B:$B,$C13&amp;"-*",'ฟีเจอร์ MVP'!$H:$H,"Could*")</f>
        <v>0</v>
      </c>
      <c r="H13" s="4">
        <f>COUNTIFS('ฟีเจอร์ MVP'!$B:$B,$C13&amp;"-*",'ฟีเจอร์ MVP'!$I:$I,"P0")</f>
        <v>0</v>
      </c>
      <c r="I13" s="4">
        <f>COUNTIFS('ฟีเจอร์ MVP'!$B:$B,$C13&amp;"-*",'ฟีเจอร์ MVP'!$I:$I,"P1")</f>
        <v>6</v>
      </c>
      <c r="J13" s="4">
        <f>COUNTIFS('ฟีเจอร์ MVP'!$B:$B,$C13&amp;"-*",'ฟีเจอร์ MVP'!$L:$L,"เสร็จแล้ว")</f>
        <v>3</v>
      </c>
      <c r="K13" s="6">
        <f>IFERROR(J13/D13,0)</f>
        <v>0.5</v>
      </c>
      <c r="L13" s="4">
        <f>COUNTIFS('ฟีเจอร์ MVP'!$B:$B,$C13&amp;"-*",'ฟีเจอร์ MVP'!$L:$L,"กำลังทำ")</f>
        <v>3</v>
      </c>
      <c r="M13" s="4">
        <f>COUNTIFS('ฟีเจอร์ MVP'!$B:$B,$C13&amp;"-*",'ฟีเจอร์ MVP'!$L:$L,"ยังไม่เริ่ม")</f>
        <v>0</v>
      </c>
    </row>
    <row r="14">
      <c r="A14" s="7" t="inlineStr">
        <is>
          <t>รวม</t>
        </is>
      </c>
      <c r="B14" s="8" t="inlineStr">
        <is>
          <t>ทุกโมดูล</t>
        </is>
      </c>
      <c r="C14" s="9" t="n"/>
      <c r="D14" s="7">
        <f>SUM(D5:D13)</f>
        <v>130</v>
      </c>
      <c r="E14" s="7">
        <f>SUM(E5:E13)</f>
        <v>97</v>
      </c>
      <c r="F14" s="7">
        <f>SUM(F5:F13)</f>
        <v>31</v>
      </c>
      <c r="G14" s="7">
        <f>SUM(G5:G13)</f>
        <v>2</v>
      </c>
      <c r="H14" s="7">
        <f>SUM(H5:H13)</f>
        <v>7</v>
      </c>
      <c r="I14" s="7">
        <f>SUM(I5:I13)</f>
        <v>123</v>
      </c>
      <c r="J14" s="7">
        <f>SUM(J5:J13)</f>
        <v>77</v>
      </c>
      <c r="K14" s="10">
        <f>IFERROR(J14/D14,0)</f>
        <v>0.5923076923076923</v>
      </c>
      <c r="L14" s="7">
        <f>SUM(L5:L13)</f>
        <v>53</v>
      </c>
      <c r="M14" s="7">
        <f>SUM(M5:M13)</f>
        <v>0</v>
      </c>
    </row>
    <row r="15"/>
    <row r="16">
      <c r="A16" s="11" t="inlineStr">
        <is>
          <t>ความคืบหน้าตามสถานะ</t>
        </is>
      </c>
    </row>
    <row r="17" ht="30">
      <c r="A17" s="3" t="inlineStr">
        <is>
          <t>สถานะ</t>
        </is>
      </c>
      <c r="B17" s="3" t="inlineStr">
        <is>
          <t>จำนวน</t>
        </is>
      </c>
    </row>
    <row r="18">
      <c r="A18" s="5" t="inlineStr">
        <is>
          <t>ยังไม่เริ่ม</t>
        </is>
      </c>
      <c r="B18" s="4">
        <f>COUNTIF('ฟีเจอร์ MVP'!$L:$L,A18)</f>
        <v>0</v>
      </c>
    </row>
    <row r="19">
      <c r="A19" s="5" t="inlineStr">
        <is>
          <t>กำลังทำ</t>
        </is>
      </c>
      <c r="B19" s="4">
        <f>COUNTIF('ฟีเจอร์ MVP'!$L:$L,A19)</f>
        <v>53</v>
      </c>
    </row>
    <row r="20">
      <c r="A20" s="5" t="inlineStr">
        <is>
          <t>รอตรวจ</t>
        </is>
      </c>
      <c r="B20" s="4">
        <f>COUNTIF('ฟีเจอร์ MVP'!$L:$L,A20)</f>
        <v>0</v>
      </c>
    </row>
    <row r="21">
      <c r="A21" s="5" t="inlineStr">
        <is>
          <t>เสร็จแล้ว</t>
        </is>
      </c>
      <c r="B21" s="4">
        <f>COUNTIF('ฟีเจอร์ MVP'!$L:$L,A21)</f>
        <v>77</v>
      </c>
    </row>
    <row r="22">
      <c r="A22" s="5" t="inlineStr">
        <is>
          <t>เลื่อนออก</t>
        </is>
      </c>
      <c r="B22" s="4">
        <f>COUNTIF('ฟีเจอร์ MVP'!$L:$L,A22)</f>
        <v>0</v>
      </c>
    </row>
    <row r="23">
      <c r="A23" s="7" t="inlineStr">
        <is>
          <t>รวม</t>
        </is>
      </c>
      <c r="B23" s="7">
        <f>SUM(B18:B22)</f>
        <v>130</v>
      </c>
    </row>
    <row r="24"/>
    <row r="25">
      <c r="A25" s="11" t="inlineStr">
        <is>
          <t>วิธีใช้ไฟล์นี้</t>
        </is>
      </c>
    </row>
    <row r="26">
      <c r="A26" s="12" t="inlineStr">
        <is>
          <t>• ชีต “ฟีเจอร์ MVP” = ฟีเจอร์ทั้งหมดที่ต้องมีในเฟส P0 + P1 ตาม docs/02-srs.md (เปิดทดลองใช้ในกลุ่มองค์กรนำร่อง) เรียงตามโมดูล</t>
        </is>
      </c>
    </row>
    <row r="27">
      <c r="A27" s="12" t="inlineStr">
        <is>
          <t>• “สถานะ” และ “หมายเหตุ” ตรวจเทียบโค้ดและหน้าจอจริง ณ 1 ต.ค. 2569: เสร็จแล้ว = ผ่านเกณฑ์ตรวจรับครบทุกข้อ, กำลังทำ = ทำแล้วบางส่วน, ยังไม่เริ่ม = ยังไม่มีในระบบ; หมายเหตุบอกสิ่งที่ยังขาด</t>
        </is>
      </c>
    </row>
    <row r="28">
      <c r="A28" s="12" t="inlineStr">
        <is>
          <t>• ช่องพื้นเหลือง (สถานะ, ผู้รับผิดชอบ, Sprint เป้าหมาย, หมายเหตุ) ทีมแก้ได้เอง — ช่องอื่นมาจาก SRS ห้ามแก้ที่นี่ ให้แก้ใน docs/02-srs.md</t>
        </is>
      </c>
    </row>
    <row r="29">
      <c r="A29" s="12" t="inlineStr">
        <is>
          <t>• สถานะเลือกจาก dropdown: ยังไม่เริ่ม / กำลังทำ / รอตรวจ / เสร็จแล้ว / เลื่อนออก — ตารางสรุปด้านบนนับให้อัตโนมัติ</t>
        </is>
      </c>
    </row>
    <row r="30">
      <c r="A30" s="12" t="inlineStr">
        <is>
          <t>• Must = ต้องมีก่อนเปิดใช้, Should = ควรมี (ตัดได้ถ้าเวลาไม่พอ), Could = ถ้ามีเวลา</t>
        </is>
      </c>
    </row>
    <row r="31">
      <c r="A31" s="12" t="inlineStr">
        <is>
          <t>• P0 = งานวางฐานระบบ, P1 = ฟีเจอร์ MVP</t>
        </is>
      </c>
    </row>
    <row r="32">
      <c r="A32" s="12" t="inlineStr">
        <is>
          <t>• ชีต “ข้อกำหนดคุณภาพ (NFR)” และ “กฎธุรกิจ (BR)” ใช้กับทุกฟีเจอร์ใน MVP; ชีต “หลังเฟส MVP” คือฟีเจอร์ที่ไม่อยู่ใน SRS ฉบับปัจจุบัน (เฟส 2–3) ยังไม่ทำตอนนี้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"/>
  <sheetViews>
    <sheetView tabSelected="0" zoomScale="90" zoomScaleNormal="9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ColWidth="8.5703125" defaultRowHeight="15"/>
  <cols>
    <col width="7" customWidth="1" min="1" max="1"/>
    <col width="14" customWidth="1" min="2" max="2"/>
    <col width="8" customWidth="1" min="3" max="3"/>
    <col width="24" customWidth="1" min="4" max="4"/>
    <col width="32" customWidth="1" min="5" max="5"/>
    <col width="60" customWidth="1" min="6" max="6"/>
    <col width="18" customWidth="1" min="7" max="7"/>
    <col width="14" customWidth="1" min="8" max="8"/>
    <col width="7" customWidth="1" min="9" max="9"/>
    <col width="70" customWidth="1" min="10" max="10"/>
    <col width="10" customWidth="1" min="11" max="11"/>
    <col width="13" customWidth="1" min="12" max="12"/>
    <col width="16" customWidth="1" min="13" max="13"/>
    <col width="12" customWidth="1" min="14" max="14"/>
    <col width="45" customWidth="1" min="15" max="15"/>
  </cols>
  <sheetData>
    <row r="1" ht="18" customHeight="1">
      <c r="A1" s="1" t="inlineStr">
        <is>
          <t>ฟีเจอร์ MVP ทั้งหมด (เฟส P0 + P1)</t>
        </is>
      </c>
    </row>
    <row r="2">
      <c r="A2" s="2" t="inlineStr">
        <is>
          <t>130 ฟีเจอร์ · ที่มา docs/02-srs.md ฉบับ 1.8 (1 ต.ค. 2569) · สถานะและหมายเหตุตรวจเทียบโค้ดและหน้าจอจริง ณ 1 ต.ค. 2569 · ช่องพื้นเหลืองให้ทีมกรอก</t>
        </is>
      </c>
    </row>
    <row r="4" ht="24.75" customHeight="1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โมดูล</t>
        </is>
      </c>
      <c r="D4" s="3" t="inlineStr">
        <is>
          <t>ชื่อโมดูล</t>
        </is>
      </c>
      <c r="E4" s="3" t="inlineStr">
        <is>
          <t>ฟีเจอร์</t>
        </is>
      </c>
      <c r="F4" s="3" t="inlineStr">
        <is>
          <t>รายละเอียด</t>
        </is>
      </c>
      <c r="G4" s="3" t="inlineStr">
        <is>
          <t>ผู้ใช้ที่เกี่ยวข้อง</t>
        </is>
      </c>
      <c r="H4" s="3" t="inlineStr">
        <is>
          <t>ความสำคัญ</t>
        </is>
      </c>
      <c r="I4" s="3" t="inlineStr">
        <is>
          <t>เฟส</t>
        </is>
      </c>
      <c r="J4" s="3" t="inlineStr">
        <is>
          <t>เกณฑ์ตรวจรับ (Acceptance Criteria)</t>
        </is>
      </c>
      <c r="K4" s="3" t="inlineStr">
        <is>
          <t>จำนวนเกณฑ์</t>
        </is>
      </c>
      <c r="L4" s="3" t="inlineStr">
        <is>
          <t>สถานะ</t>
        </is>
      </c>
      <c r="M4" s="3" t="inlineStr">
        <is>
          <t>ผู้รับผิดชอบ</t>
        </is>
      </c>
      <c r="N4" s="3" t="inlineStr">
        <is>
          <t>Sprint เป้าหมาย</t>
        </is>
      </c>
      <c r="O4" s="3" t="inlineStr">
        <is>
          <t>หมายเหตุ</t>
        </is>
      </c>
    </row>
    <row r="5" ht="102.5">
      <c r="A5" s="4" t="n">
        <v>1</v>
      </c>
      <c r="B5" s="5" t="inlineStr">
        <is>
          <t>FR-AUTH-001</t>
        </is>
      </c>
      <c r="C5" s="4" t="inlineStr">
        <is>
          <t>M1</t>
        </is>
      </c>
      <c r="D5" s="5" t="inlineStr">
        <is>
          <t>บัญชีผู้ใช้และการเข้าถึง</t>
        </is>
      </c>
      <c r="E5" s="5" t="inlineStr">
        <is>
          <t>สมัครสมาชิกด้วยอีเมล</t>
        </is>
      </c>
      <c r="F5" s="5" t="inlineStr">
        <is>
          <t>ระบบต้องให้ผู้ใช้สมัครด้วยอีเมล + รหัสผ่าน + ชื่อที่แสดง และยืนยันอีเมลผ่านลิงก์ (อายุลิงก์ 24 ชม.)</t>
        </is>
      </c>
      <c r="G5" s="5" t="inlineStr">
        <is>
          <t>guest</t>
        </is>
      </c>
      <c r="H5" s="5" t="inlineStr">
        <is>
          <t>Must (ต้องมี)</t>
        </is>
      </c>
      <c r="I5" s="4" t="inlineStr">
        <is>
          <t>P1</t>
        </is>
      </c>
      <c r="J5" s="5" t="inlineStr">
        <is>
          <t>AC1: Given ผู้ใช้อยู่แท็บ "สมัครสมาชิก" ในหน้า /login หรือหน้า /register When กรอกอีเมลที่ยังไม่ถูกใช้ + รหัสผ่านตาม BR-016 + ติ๊กยอมรับข้อกำหนดและ consent บริการหลัก Then ระบบสร้างบัญชีสถานะ pending_verification และส่งอีเมลยืนยัน
AC2: Given อีเมลถูกใช้แล้ว When กดสมัคร Then แสดงข้อความกลาง ๆ "หากอีเมลนี้ยังไม่ได้ลงทะเบียน ระบบได้ส่งลิงก์ยืนยันไปแล้ว" (ไม่เปิดเผยว่ามีบัญชีอยู่)
AC3: Given ผู้ใช้คลิกลิงก์ยืนยันภายใน 24 ชม. When เปิดลิงก์ Then บัญชีเป็น active และเข้าสู่ระบบอัตโนมัติ; ถ้าเกิน 24 ชม. แสดงปุ่ม "ส่งลิงก์ใหม่"</t>
        </is>
      </c>
      <c r="K5" s="4" t="n">
        <v>3</v>
      </c>
      <c r="L5" s="13" t="inlineStr">
        <is>
          <t>กำลังทำ</t>
        </is>
      </c>
      <c r="M5" s="14" t="n"/>
      <c r="N5" s="14" t="n"/>
      <c r="O5" s="14" t="inlineStr">
        <is>
          <t>ยังไม่ได้ใช้สถานะรอยืนยัน ไม่มีปุ่มส่งลิงก์ใหม่เมื่อลิงก์หมดอายุ และการยืนยันอีเมลใช้จริงได้เมื่อมี SMTP จริงเท่านั้น</t>
        </is>
      </c>
    </row>
    <row r="6" ht="90">
      <c r="A6" s="4" t="n">
        <v>2</v>
      </c>
      <c r="B6" s="5" t="inlineStr">
        <is>
          <t>FR-AUTH-002</t>
        </is>
      </c>
      <c r="C6" s="4" t="inlineStr">
        <is>
          <t>M1</t>
        </is>
      </c>
      <c r="D6" s="5" t="inlineStr">
        <is>
          <t>บัญชีผู้ใช้และการเข้าถึง</t>
        </is>
      </c>
      <c r="E6" s="5" t="inlineStr">
        <is>
          <t>เข้าสู่ระบบ</t>
        </is>
      </c>
      <c r="F6" s="5" t="inlineStr">
        <is>
          <t>ระบบต้องให้ผู้ใช้เข้าสู่ระบบด้วยอีเมล + รหัสผ่าน, มีปุ่มแสดง/ซ่อนรหัสผ่าน และตัวเลือกภาษา/ธีมบนหน้า login (ตาม AI-EDW)</t>
        </is>
      </c>
      <c r="G6" s="5" t="inlineStr">
        <is>
          <t>guest</t>
        </is>
      </c>
      <c r="H6" s="5" t="inlineStr">
        <is>
          <t>Must (ต้องมี)</t>
        </is>
      </c>
      <c r="I6" s="4" t="inlineStr">
        <is>
          <t>P0</t>
        </is>
      </c>
      <c r="J6" s="5" t="inlineStr">
        <is>
          <t>AC1: Given บัญชี active When กรอกข้อมูลถูกต้อง Then สร้าง session ใหม่ (Better Auth ออก session token ใหม่ใน cookie lc.session_token) และ redirect ไป /chat หรือ URL ที่ขอไว้ก่อน login
AC2: Given ข้อมูลผิด When กดเข้าสู่ระบบ Then แสดง "อีเมลหรือรหัสผ่านไม่ถูกต้อง" โดยไม่ระบุว่าผิดส่วนใด
AC3: Given บัญชี pending_verification When login Then แจ้งให้ยืนยันอีเมลพร้อมปุ่มส่งลิงก์ใหม่</t>
        </is>
      </c>
      <c r="K6" s="4" t="n">
        <v>3</v>
      </c>
      <c r="L6" s="13" t="inlineStr">
        <is>
          <t>กำลังทำ</t>
        </is>
      </c>
      <c r="M6" s="14" t="n"/>
      <c r="N6" s="14" t="n"/>
      <c r="O6" s="14" t="inlineStr">
        <is>
          <t>เข้าสู่ระบบด้วยบัญชีที่ยังไม่ยืนยันได้ข้อความแจ้งและระบบส่งลิงก์ให้เอง แต่ไม่มีปุ่ม "ส่งลิงก์ใหม่" ในหน้าเข้าสู่ระบบ</t>
        </is>
      </c>
    </row>
    <row r="7" ht="27.5">
      <c r="A7" s="4" t="n">
        <v>3</v>
      </c>
      <c r="B7" s="5" t="inlineStr">
        <is>
          <t>FR-AUTH-003</t>
        </is>
      </c>
      <c r="C7" s="4" t="inlineStr">
        <is>
          <t>M1</t>
        </is>
      </c>
      <c r="D7" s="5" t="inlineStr">
        <is>
          <t>บัญชีผู้ใช้และการเข้าถึง</t>
        </is>
      </c>
      <c r="E7" s="5" t="inlineStr">
        <is>
          <t>จดจำการเข้าสู่ระบบ (Remember me)</t>
        </is>
      </c>
      <c r="F7" s="5" t="inlineStr">
        <is>
          <t>ระบบต้องมีตัวเลือก "จดจำฉัน" ที่คง session ได้ตาม BR-017</t>
        </is>
      </c>
      <c r="G7" s="5" t="inlineStr">
        <is>
          <t>guest</t>
        </is>
      </c>
      <c r="H7" s="5" t="inlineStr">
        <is>
          <t>Should (ควรมี)</t>
        </is>
      </c>
      <c r="I7" s="4" t="inlineStr">
        <is>
          <t>P1</t>
        </is>
      </c>
      <c r="J7" s="5" t="inlineStr">
        <is>
          <t>AC1: Given ติ๊ก "จดจำฉัน" When ปิดเบราว์เซอร์แล้วเปิดใหม่ภายในระยะที่กำหนด Then ยังอยู่ในระบบ</t>
        </is>
      </c>
      <c r="K7" s="4" t="n">
        <v>1</v>
      </c>
      <c r="L7" s="13" t="inlineStr">
        <is>
          <t>เสร็จแล้ว</t>
        </is>
      </c>
      <c r="M7" s="14" t="n"/>
      <c r="N7" s="14" t="n"/>
      <c r="O7" s="14" t="n"/>
    </row>
    <row r="8" ht="65">
      <c r="A8" s="4" t="n">
        <v>4</v>
      </c>
      <c r="B8" s="5" t="inlineStr">
        <is>
          <t>FR-AUTH-004</t>
        </is>
      </c>
      <c r="C8" s="4" t="inlineStr">
        <is>
          <t>M1</t>
        </is>
      </c>
      <c r="D8" s="5" t="inlineStr">
        <is>
          <t>บัญชีผู้ใช้และการเข้าถึง</t>
        </is>
      </c>
      <c r="E8" s="5" t="inlineStr">
        <is>
          <t>ลืมรหัสผ่าน</t>
        </is>
      </c>
      <c r="F8" s="5" t="inlineStr">
        <is>
          <t>ระบบต้องให้ผู้ใช้ขอลิงก์ตั้งรหัสผ่านใหม่ทางอีเมล (ลิงก์ใช้ครั้งเดียว อายุ 1 ชม.) และยกเลิก session อื่นทั้งหมดหลังตั้งรหัสใหม่</t>
        </is>
      </c>
      <c r="G8" s="5" t="inlineStr">
        <is>
          <t>guest</t>
        </is>
      </c>
      <c r="H8" s="5" t="inlineStr">
        <is>
          <t>Must (ต้องมี)</t>
        </is>
      </c>
      <c r="I8" s="4" t="inlineStr">
        <is>
          <t>P1</t>
        </is>
      </c>
      <c r="J8" s="5" t="inlineStr">
        <is>
          <t>AC1: Given ผู้ใช้กรอกอีเมลใด ๆ When กดส่ง Then แสดงข้อความเดียวกันเสมอ (ไม่เปิดเผยการมีอยู่ของบัญชี)
AC2: Given ลิงก์ถูกใช้แล้วหรือหมดอายุ When เปิดลิงก์ Then แสดงว่าลิงก์ใช้ไม่ได้
AC3: Given ตั้งรหัสใหม่สำเร็จ When มี session อื่นเปิดอยู่ Then session เหล่านั้นถูกยกเลิกและบันทึก audit log</t>
        </is>
      </c>
      <c r="K8" s="4" t="n">
        <v>3</v>
      </c>
      <c r="L8" s="13" t="inlineStr">
        <is>
          <t>กำลังทำ</t>
        </is>
      </c>
      <c r="M8" s="14" t="n"/>
      <c r="N8" s="14" t="n"/>
      <c r="O8" s="14" t="inlineStr">
        <is>
          <t>ลืมรหัสผ่านซ่อนอยู่ (หน้า 404) จนกว่าจะตั้ง SMTP จริง (MAIL_LIVE) ผู้ใช้จึงยังขอลิงก์ตั้งรหัสใหม่ไม่ได้ในระบบทดสอบ</t>
        </is>
      </c>
    </row>
    <row r="9" ht="27.5">
      <c r="A9" s="4" t="n">
        <v>5</v>
      </c>
      <c r="B9" s="5" t="inlineStr">
        <is>
          <t>FR-AUTH-005</t>
        </is>
      </c>
      <c r="C9" s="4" t="inlineStr">
        <is>
          <t>M1</t>
        </is>
      </c>
      <c r="D9" s="5" t="inlineStr">
        <is>
          <t>บัญชีผู้ใช้และการเข้าถึง</t>
        </is>
      </c>
      <c r="E9" s="5" t="inlineStr">
        <is>
          <t>ออกจากระบบ</t>
        </is>
      </c>
      <c r="F9" s="5" t="inlineStr">
        <is>
          <t>ระบบต้องให้ออกจากระบบจาก user menu โดยทำลาย session ฝั่ง server และล้าง cookie</t>
        </is>
      </c>
      <c r="G9" s="5" t="inlineStr">
        <is>
          <t>member+</t>
        </is>
      </c>
      <c r="H9" s="5" t="inlineStr">
        <is>
          <t>Must (ต้องมี)</t>
        </is>
      </c>
      <c r="I9" s="4" t="inlineStr">
        <is>
          <t>P0</t>
        </is>
      </c>
      <c r="J9" s="5" t="inlineStr">
        <is>
          <t>AC1: Given ผู้ใช้กด "ออกจากระบบ" When redirect ไป /login Then การเรียก API ด้วย session เดิมได้ HTTP 401</t>
        </is>
      </c>
      <c r="K9" s="4" t="n">
        <v>1</v>
      </c>
      <c r="L9" s="13" t="inlineStr">
        <is>
          <t>เสร็จแล้ว</t>
        </is>
      </c>
      <c r="M9" s="14" t="n"/>
      <c r="N9" s="14" t="n"/>
      <c r="O9" s="14" t="n"/>
    </row>
    <row r="10" ht="165">
      <c r="A10" s="4" t="n">
        <v>6</v>
      </c>
      <c r="B10" s="5" t="inlineStr">
        <is>
          <t>FR-AUTH-006</t>
        </is>
      </c>
      <c r="C10" s="4" t="inlineStr">
        <is>
          <t>M1</t>
        </is>
      </c>
      <c r="D10" s="5" t="inlineStr">
        <is>
          <t>บัญชีผู้ใช้และการเข้าถึง</t>
        </is>
      </c>
      <c r="E10" s="5" t="inlineStr">
        <is>
          <t>โหมด Guest</t>
        </is>
      </c>
      <c r="F10" s="5" t="inlineStr">
        <is>
          <t>ระบบต้องให้ผู้ใช้เริ่มใช้งานแชทและอ่านเนื้อหาได้โดยไม่สมัคร ผ่านปุ่ม "ทดลองใช้โดยไม่สมัคร" (สร้าง guest identity ด้วย Better Auth anonymous plugin เป็นแถว app.users ที่ is_anonymous = true และใช้ cookie session ปกติ)</t>
        </is>
      </c>
      <c r="G10" s="5" t="inlineStr">
        <is>
          <t>guest</t>
        </is>
      </c>
      <c r="H10" s="5" t="inlineStr">
        <is>
          <t>Must (ต้องมี)</t>
        </is>
      </c>
      <c r="I10" s="4" t="inlineStr">
        <is>
          <t>P1</t>
        </is>
      </c>
      <c r="J10" s="5" t="inlineStr">
        <is>
          <t>AC1: Given ผู้ใช้กด "ทดลองใช้โดยไม่สมัคร" และยอมรับ consent บริการหลัก When เข้าสู่ /chat Then แชทได้ และ sidebar แสดงแชทของ guest นั้น
AC2: Given guest When เปิดเมนูที่ต้องเป็นสมาชิก (ที่บันทึกไว้, แชร์แชท, โฟลเดอร์แชท, องค์กร) Then แสดง prompt ชวนสมัคร/เข้าสู่ระบบ
AC3: Given guest ไม่ได้ใช้งานเกินระยะใน BR-003 Then ข้อมูลแชทของ guest ถูกลบโดย job - หมายเหตุ (สิ่งที่เห็นบนหน้าจอ): ชื่อผู้ใช้ของ guest คือ "ผู้ทดลองใช้" และข้อความต้อนรับไม่มีชื่อ; ปุ่ม "ทดลองใช้โดยไม่สมัคร (ถามได้ 10 ข้อความต่อวัน)" อยู่ในหน้าเข้าสู่ระบบและหน้าสมัครสมาชิก; แถบซ้ายมีลิงก์ "สมัครสมาชิกเพื่อบันทึกประวัติ"; "ที่บันทึกไว้" แสดง "ผู้ใช้ทดลองบันทึกคำตอบไม่ได้ สมัครสมาชิกเพื่อเก็บคำตอบและบทความไว้ดูภายหลัง" พร้อมปุ่ม "สมัครสมาชิก"; "ตั้งค่าบัญชี" มีเฉพาะการ์ด "การแสดงผล" (ภาษา ธีม ขนาดตัวอักษร เก็บในเบราว์เซอร์นี้) กับข้อความชวนสมัครสมาชิก; ตัวสลับพื้นที่ทำงานแสดง "สมัครสมาชิกก่อนเพื่อสร้างพื้นที่ทำงานองค์กร" และเมนู "องค์กร" ไม่ปรากฏ</t>
        </is>
      </c>
      <c r="K10" s="4" t="n">
        <v>3</v>
      </c>
      <c r="L10" s="13" t="inlineStr">
        <is>
          <t>เสร็จแล้ว</t>
        </is>
      </c>
      <c r="M10" s="14" t="n"/>
      <c r="N10" s="14" t="n"/>
      <c r="O10" s="14" t="n"/>
    </row>
    <row r="11" ht="90">
      <c r="A11" s="4" t="n">
        <v>7</v>
      </c>
      <c r="B11" s="5" t="inlineStr">
        <is>
          <t>FR-AUTH-007</t>
        </is>
      </c>
      <c r="C11" s="4" t="inlineStr">
        <is>
          <t>M1</t>
        </is>
      </c>
      <c r="D11" s="5" t="inlineStr">
        <is>
          <t>บัญชีผู้ใช้และการเข้าถึง</t>
        </is>
      </c>
      <c r="E11" s="5" t="inlineStr">
        <is>
          <t>Quota ของ Guest และแบนเนอร์แจ้งเตือน</t>
        </is>
      </c>
      <c r="F11" s="5" t="inlineStr">
        <is>
          <t>ระบบต้องจำกัดจำนวนข้อความต่อวันตาม role (BR-001) และแสดงจำนวนที่เหลือเมื่อเหลือ ≤ 3 ข้อความ</t>
        </is>
      </c>
      <c r="G11" s="5" t="inlineStr">
        <is>
          <t>all</t>
        </is>
      </c>
      <c r="H11" s="5" t="inlineStr">
        <is>
          <t>Must (ต้องมี)</t>
        </is>
      </c>
      <c r="I11" s="4" t="inlineStr">
        <is>
          <t>P1</t>
        </is>
      </c>
      <c r="J11" s="5" t="inlineStr">
        <is>
          <t>AC1: Given guest ใช้ครบ quota When ส่งข้อความ Then ได้ SSE event guardrail (kind=quota, stage=quota) และ bubble แจ้ง "ใช้ครบโควตาวันนี้แล้ว" พร้อมปุ่มสมัครสมาชิก
AC2: Given เหลือ 3 ข้อความ When ส่งข้อความ Then แสดงแบนเนอร์เหนือช่องพิมพ์ "เหลือ 3 ข้อความสำหรับวันนี้"
AC3: Given เวลา 00:00 Asia/Bangkok When เริ่มวันใหม่ Then quota รีเซ็ต</t>
        </is>
      </c>
      <c r="K11" s="4" t="n">
        <v>3</v>
      </c>
      <c r="L11" s="13" t="inlineStr">
        <is>
          <t>เสร็จแล้ว</t>
        </is>
      </c>
      <c r="M11" s="14" t="n"/>
      <c r="N11" s="14" t="n"/>
      <c r="O11" s="14" t="n"/>
    </row>
    <row r="12" ht="27.5">
      <c r="A12" s="4" t="n">
        <v>8</v>
      </c>
      <c r="B12" s="5" t="inlineStr">
        <is>
          <t>FR-AUTH-008</t>
        </is>
      </c>
      <c r="C12" s="4" t="inlineStr">
        <is>
          <t>M1</t>
        </is>
      </c>
      <c r="D12" s="5" t="inlineStr">
        <is>
          <t>บัญชีผู้ใช้และการเข้าถึง</t>
        </is>
      </c>
      <c r="E12" s="5" t="inlineStr">
        <is>
          <t>ย้ายแชท Guest เข้าบัญชี</t>
        </is>
      </c>
      <c r="F12" s="5" t="inlineStr">
        <is>
          <t>ระบบต้องย้ายแชทของ guest เข้าบัญชีโดยอัตโนมัติเมื่อ guest สมัครสมาชิกหรือเข้าสู่ระบบในเบราว์เซอร์เดียวกัน (claim_guest_data)</t>
        </is>
      </c>
      <c r="G12" s="5" t="inlineStr">
        <is>
          <t>guest → member</t>
        </is>
      </c>
      <c r="H12" s="5" t="inlineStr">
        <is>
          <t>Should (ควรมี)</t>
        </is>
      </c>
      <c r="I12" s="4" t="inlineStr">
        <is>
          <t>P1</t>
        </is>
      </c>
      <c r="J12" s="5" t="inlineStr">
        <is>
          <t>AC1: Given guest มีแชท ≥1 When สมัคร/login สำเร็จ Then แชทเปลี่ยน owner เป็น user และ guest identity ถูกปิด</t>
        </is>
      </c>
      <c r="K12" s="4" t="n">
        <v>1</v>
      </c>
      <c r="L12" s="13" t="inlineStr">
        <is>
          <t>กำลังทำ</t>
        </is>
      </c>
      <c r="M12" s="14" t="n"/>
      <c r="N12" s="14" t="n"/>
      <c r="O12" s="14" t="inlineStr">
        <is>
          <t>ยังไม่มีการทดสอบการย้ายแชท guest เข้าบัญชี และอาจไม่ทำงานเมื่อเปิดบังคับยืนยันอีเมลก่อนเข้าระบบ</t>
        </is>
      </c>
    </row>
    <row r="13" ht="77.5">
      <c r="A13" s="4" t="n">
        <v>9</v>
      </c>
      <c r="B13" s="5" t="inlineStr">
        <is>
          <t>FR-AUTH-009</t>
        </is>
      </c>
      <c r="C13" s="4" t="inlineStr">
        <is>
          <t>M1</t>
        </is>
      </c>
      <c r="D13" s="5" t="inlineStr">
        <is>
          <t>บัญชีผู้ใช้และการเข้าถึง</t>
        </is>
      </c>
      <c r="E13" s="5" t="inlineStr">
        <is>
          <t>PDPA Consent แยกวัตถุประสงค์</t>
        </is>
      </c>
      <c r="F13" s="5" t="inlineStr">
        <is>
          <t>ระบบต้องขอ consent แยกตามวัตถุประสงค์ (enum app.consent_purpose): (1) service_terms ข้อตกลงการใช้บริการ (จำเป็น) + privacy_notice รับทราบประกาศความเป็นส่วนตัว (จำเป็น) (2) improve_service ใช้ข้อมูลแบบไม่ระบุตัวตนเพื่อปรับปรุงระบบ (opt-in) (3) marketing (opt-in) พร้อมลิงก์ประกาศความเป็นส่วนตัวเวอร์ชันปัจจุบัน</t>
        </is>
      </c>
      <c r="G13" s="5" t="inlineStr">
        <is>
          <t>all</t>
        </is>
      </c>
      <c r="H13" s="5" t="inlineStr">
        <is>
          <t>Must (ต้องมี)</t>
        </is>
      </c>
      <c r="I13" s="4" t="inlineStr">
        <is>
          <t>P1</t>
        </is>
      </c>
      <c r="J13" s="5" t="inlineStr">
        <is>
          <t>AC1: Given ผู้ใช้ใหม่ When สมัคร/เริ่ม guest Then ต้องยอมรับ service_terms + privacy_notice ก่อนใช้งาน; improve_service ไม่ติ๊กไว้ล่วงหน้า
AC2: Given consent ถูกให้หรือถอน When บันทึก Then เก็บ record ใน app.user_consents พร้อม purpose, version ประกาศ, timestamp, IP hash
AC3: Given ประกาศความเป็นส่วนตัวมีเวอร์ชันใหม่ที่ต้องขอ consent ใหม่ When ผู้ใช้เข้าระบบครั้งถัดไป Then แสดง dialog ขอ consent ใหม่</t>
        </is>
      </c>
      <c r="K13" s="4" t="n">
        <v>3</v>
      </c>
      <c r="L13" s="13" t="inlineStr">
        <is>
          <t>กำลังทำ</t>
        </is>
      </c>
      <c r="M13" s="14" t="n"/>
      <c r="N13" s="14" t="n"/>
      <c r="O13" s="14" t="inlineStr">
        <is>
          <t>ยังไม่มีช่องขอความยินยอมแบบเลือก (ปรับปรุงระบบ/การตลาด) ในหน้าสมัคร/หน้ายอมรับ มีเฉพาะข้อกำหนดและประกาศความเป็นส่วนตัว</t>
        </is>
      </c>
    </row>
    <row r="14" ht="52.5">
      <c r="A14" s="4" t="n">
        <v>10</v>
      </c>
      <c r="B14" s="5" t="inlineStr">
        <is>
          <t>FR-AUTH-010</t>
        </is>
      </c>
      <c r="C14" s="4" t="inlineStr">
        <is>
          <t>M1</t>
        </is>
      </c>
      <c r="D14" s="5" t="inlineStr">
        <is>
          <t>บัญชีผู้ใช้และการเข้าถึง</t>
        </is>
      </c>
      <c r="E14" s="5" t="inlineStr">
        <is>
          <t>ถอน Consent</t>
        </is>
      </c>
      <c r="F14" s="5" t="inlineStr">
        <is>
          <t>ระบบต้องให้ผู้ใช้ดูและถอน consent ได้จากเมนู "ความเป็นส่วนตัว &amp; ข้อมูลของฉัน"</t>
        </is>
      </c>
      <c r="G14" s="5" t="inlineStr">
        <is>
          <t>member+</t>
        </is>
      </c>
      <c r="H14" s="5" t="inlineStr">
        <is>
          <t>Must (ต้องมี)</t>
        </is>
      </c>
      <c r="I14" s="4" t="inlineStr">
        <is>
          <t>P1</t>
        </is>
      </c>
      <c r="J14" s="5" t="inlineStr">
        <is>
          <t>AC1: Given ผู้ใช้ถอน consent ที่ไม่บังคับ (improve_service, marketing) When ยืนยัน Then มีผลทันที และบันทึก record ถอนใน app.user_consents
AC2: Given ผู้ใช้ถอน service_terms Then ระบบแจ้งว่าต้องลบบัญชี และนำไปขั้นตอน FR-AUTH-018</t>
        </is>
      </c>
      <c r="K14" s="4" t="n">
        <v>2</v>
      </c>
      <c r="L14" s="13" t="inlineStr">
        <is>
          <t>กำลังทำ</t>
        </is>
      </c>
      <c r="M14" s="14" t="n"/>
      <c r="N14" s="14" t="n"/>
      <c r="O14" s="14" t="inlineStr">
        <is>
          <t>หน้าตั้งค่าแสดงเฉพาะความยินยอมที่บังคับ ยังไม่มีปุ่มถอนความยินยอมที่ไม่บังคับ (ปรับปรุงระบบ/การตลาด) มีแต่ข้อความให้ลบบัญชี</t>
        </is>
      </c>
    </row>
    <row r="15" ht="27.5">
      <c r="A15" s="4" t="n">
        <v>11</v>
      </c>
      <c r="B15" s="5" t="inlineStr">
        <is>
          <t>FR-AUTH-011</t>
        </is>
      </c>
      <c r="C15" s="4" t="inlineStr">
        <is>
          <t>M1</t>
        </is>
      </c>
      <c r="D15" s="5" t="inlineStr">
        <is>
          <t>บัญชีผู้ใช้และการเข้าถึง</t>
        </is>
      </c>
      <c r="E15" s="5" t="inlineStr">
        <is>
          <t>โปรไฟล์</t>
        </is>
      </c>
      <c r="F15" s="5" t="inlineStr">
        <is>
          <t>ระบบต้องให้แก้ชื่อที่แสดงจากหน้าตั้งค่าบัญชี (/settings)</t>
        </is>
      </c>
      <c r="G15" s="5" t="inlineStr">
        <is>
          <t>member+</t>
        </is>
      </c>
      <c r="H15" s="5" t="inlineStr">
        <is>
          <t>Should (ควรมี)</t>
        </is>
      </c>
      <c r="I15" s="4" t="inlineStr">
        <is>
          <t>P1</t>
        </is>
      </c>
      <c r="J15" s="5" t="inlineStr">
        <is>
          <t>AC1: Given แก้ชื่อแล้วบันทึก Then ชื่อใน header และเมนูผู้ใช้อัปเดต</t>
        </is>
      </c>
      <c r="K15" s="4" t="n">
        <v>1</v>
      </c>
      <c r="L15" s="13" t="inlineStr">
        <is>
          <t>เสร็จแล้ว</t>
        </is>
      </c>
      <c r="M15" s="14" t="n"/>
      <c r="N15" s="14" t="n"/>
      <c r="O15" s="14" t="n"/>
    </row>
    <row r="16" ht="52.5">
      <c r="A16" s="4" t="n">
        <v>12</v>
      </c>
      <c r="B16" s="5" t="inlineStr">
        <is>
          <t>FR-AUTH-012</t>
        </is>
      </c>
      <c r="C16" s="4" t="inlineStr">
        <is>
          <t>M1</t>
        </is>
      </c>
      <c r="D16" s="5" t="inlineStr">
        <is>
          <t>บัญชีผู้ใช้และการเข้าถึง</t>
        </is>
      </c>
      <c r="E16" s="5" t="inlineStr">
        <is>
          <t>เปลี่ยนรหัสผ่าน</t>
        </is>
      </c>
      <c r="F16" s="5" t="inlineStr">
        <is>
          <t>ระบบต้องให้เปลี่ยนรหัสผ่านโดยกรอกรหัสปัจจุบัน + รหัสใหม่ 2 ครั้ง</t>
        </is>
      </c>
      <c r="G16" s="5" t="inlineStr">
        <is>
          <t>member+</t>
        </is>
      </c>
      <c r="H16" s="5" t="inlineStr">
        <is>
          <t>Must (ต้องมี)</t>
        </is>
      </c>
      <c r="I16" s="4" t="inlineStr">
        <is>
          <t>P1</t>
        </is>
      </c>
      <c r="J16" s="5" t="inlineStr">
        <is>
          <t>AC1: Given รหัสปัจจุบันผิด Then ไม่เปลี่ยนและนับเป็นความพยายามล้มเหลว (FR-AUTH-019)
AC2: Given สำเร็จ Then session อื่นทั้งหมดถูกยกเลิก และส่งอีเมลแจ้งเตือนการเปลี่ยนรหัส</t>
        </is>
      </c>
      <c r="K16" s="4" t="n">
        <v>2</v>
      </c>
      <c r="L16" s="13" t="inlineStr">
        <is>
          <t>กำลังทำ</t>
        </is>
      </c>
      <c r="M16" s="14" t="n"/>
      <c r="N16" s="14" t="n"/>
      <c r="O16" s="14" t="inlineStr">
        <is>
          <t>ฟอร์มเปลี่ยนรหัสผ่านมีช่องรหัสปัจจุบันและรหัสใหม่ แต่ยังไม่มีช่องกรอกรหัสใหม่ซ้ำครั้งที่สอง</t>
        </is>
      </c>
    </row>
    <row r="17" ht="52.5">
      <c r="A17" s="4" t="n">
        <v>13</v>
      </c>
      <c r="B17" s="5" t="inlineStr">
        <is>
          <t>FR-AUTH-013</t>
        </is>
      </c>
      <c r="C17" s="4" t="inlineStr">
        <is>
          <t>M1</t>
        </is>
      </c>
      <c r="D17" s="5" t="inlineStr">
        <is>
          <t>บัญชีผู้ใช้และการเข้าถึง</t>
        </is>
      </c>
      <c r="E17" s="5" t="inlineStr">
        <is>
          <t>เลือกภาษา</t>
        </is>
      </c>
      <c r="F17" s="5" t="inlineStr">
        <is>
          <t>ระบบต้องให้เลือกภาษา UI (ไทย, English) จากปุ่มภาษาใน header และหน้า login; บันทึกใน profile (member) หรือ localStorage (guest)</t>
        </is>
      </c>
      <c r="G17" s="5" t="inlineStr">
        <is>
          <t>all</t>
        </is>
      </c>
      <c r="H17" s="5" t="inlineStr">
        <is>
          <t>Must (ต้องมี)</t>
        </is>
      </c>
      <c r="I17" s="4" t="inlineStr">
        <is>
          <t>P0</t>
        </is>
      </c>
      <c r="J17" s="5" t="inlineStr">
        <is>
          <t>AC1: Given เลือก English When หน้า reload Then ข้อความ UI ทั้งหมดเป็นภาษาอังกฤษ และ &lt;html lang="en"&gt;
AC2: Given ภาษา UI = English Then ข้อความของระบบในคำตอบ (คำนำ บรรทัดปิดท้าย) เป็นภาษาอังกฤษ และเนื้อหาจากคลังเป็นภาษาไทย (FR-AI-018)</t>
        </is>
      </c>
      <c r="K17" s="4" t="n">
        <v>2</v>
      </c>
      <c r="L17" s="13" t="inlineStr">
        <is>
          <t>เสร็จแล้ว</t>
        </is>
      </c>
      <c r="M17" s="14" t="n"/>
      <c r="N17" s="14" t="n"/>
      <c r="O17" s="14" t="n"/>
    </row>
    <row r="18" ht="40">
      <c r="A18" s="4" t="n">
        <v>14</v>
      </c>
      <c r="B18" s="5" t="inlineStr">
        <is>
          <t>FR-AUTH-014</t>
        </is>
      </c>
      <c r="C18" s="4" t="inlineStr">
        <is>
          <t>M1</t>
        </is>
      </c>
      <c r="D18" s="5" t="inlineStr">
        <is>
          <t>บัญชีผู้ใช้และการเข้าถึง</t>
        </is>
      </c>
      <c r="E18" s="5" t="inlineStr">
        <is>
          <t>ธีม Light/Dark</t>
        </is>
      </c>
      <c r="F18" s="5" t="inlineStr">
        <is>
          <t>ระบบต้องมี toggle ธีม, ใช้ค่าจาก prefers-color-scheme เมื่อยังไม่เคยเลือก, ใช้ธีมก่อน first paint (ไม่กระพริบ) และจำใน localStorage key lc_theme</t>
        </is>
      </c>
      <c r="G18" s="5" t="inlineStr">
        <is>
          <t>all</t>
        </is>
      </c>
      <c r="H18" s="5" t="inlineStr">
        <is>
          <t>Must (ต้องมี)</t>
        </is>
      </c>
      <c r="I18" s="4" t="inlineStr">
        <is>
          <t>P0</t>
        </is>
      </c>
      <c r="J18" s="5" t="inlineStr">
        <is>
          <t>AC1: Given เลือก dark When เปิดหน้าใดก็ตาม Then ไม่มีการกระพริบเป็นสีขาวก่อน render
AC2: ทุก component ผ่าน contrast ตาม NFR-A11Y-002 ทั้ง 2 ธีม</t>
        </is>
      </c>
      <c r="K18" s="4" t="n">
        <v>2</v>
      </c>
      <c r="L18" s="13" t="inlineStr">
        <is>
          <t>เสร็จแล้ว</t>
        </is>
      </c>
      <c r="M18" s="14" t="n"/>
      <c r="N18" s="14" t="n"/>
      <c r="O18" s="14" t="n"/>
    </row>
    <row r="19" ht="77.5">
      <c r="A19" s="4" t="n">
        <v>15</v>
      </c>
      <c r="B19" s="5" t="inlineStr">
        <is>
          <t>FR-AUTH-016</t>
        </is>
      </c>
      <c r="C19" s="4" t="inlineStr">
        <is>
          <t>M1</t>
        </is>
      </c>
      <c r="D19" s="5" t="inlineStr">
        <is>
          <t>บัญชีผู้ใช้และการเข้าถึง</t>
        </is>
      </c>
      <c r="E19" s="5" t="inlineStr">
        <is>
          <t>Session Countdown และหมดอายุ</t>
        </is>
      </c>
      <c r="F19" s="5" t="inlineStr">
        <is>
          <t>ระบบต้องแสดงเวลาที่เหลือของ session ที่ footer (ตาม AI-EDW), เตือนเมื่อเหลือ 5 นาที พร้อมปุ่ม "ต่อเวลา" แล้วออกจากระบบอัตโนมัติเมื่อหมดเวลา และเรียก check_session เป็นระยะ</t>
        </is>
      </c>
      <c r="G19" s="5" t="inlineStr">
        <is>
          <t>member+</t>
        </is>
      </c>
      <c r="H19" s="5" t="inlineStr">
        <is>
          <t>Should (ควรมี)</t>
        </is>
      </c>
      <c r="I19" s="4" t="inlineStr">
        <is>
          <t>P1</t>
        </is>
      </c>
      <c r="J19" s="5" t="inlineStr">
        <is>
          <t>AC1: Given เหลือ 5 นาที Then แสดง toast พร้อมปุ่ม "ต่อเวลา"; กดแล้ว countdown รีเซ็ต
AC2: Given session หมดอายุ When ผู้ใช้กดส่งข้อความ Then ข้อความที่พิมพ์ถูกเก็บเป็น draft ใน sessionStorage (ต่อแท็บ — ไม่ใช้ localStorage เพื่อไม่ให้ข้อความคดีค้างในเครื่องที่ใช้ร่วมกัน) และ redirect ไป login; กลับมาแล้วข้อความยังอยู่ (ล้างเมื่อกดออกจากระบบ)</t>
        </is>
      </c>
      <c r="K19" s="4" t="n">
        <v>2</v>
      </c>
      <c r="L19" s="13" t="inlineStr">
        <is>
          <t>กำลังทำ</t>
        </is>
      </c>
      <c r="M19" s="14" t="n"/>
      <c r="N19" s="14" t="n"/>
      <c r="O19" s="14" t="inlineStr">
        <is>
          <t>ยังไม่เปลี่ยนเส้นทางไปหน้าเข้าสู่ระบบเมื่อกดส่งข้อความตอนเซสชันหมดอายุ (ได้เพียงข้อความผิดพลาดและร่างถูกล้างตอนส่ง)</t>
        </is>
      </c>
    </row>
    <row r="20" ht="40">
      <c r="A20" s="4" t="n">
        <v>16</v>
      </c>
      <c r="B20" s="5" t="inlineStr">
        <is>
          <t>FR-AUTH-017</t>
        </is>
      </c>
      <c r="C20" s="4" t="inlineStr">
        <is>
          <t>M1</t>
        </is>
      </c>
      <c r="D20" s="5" t="inlineStr">
        <is>
          <t>บัญชีผู้ใช้และการเข้าถึง</t>
        </is>
      </c>
      <c r="E20" s="5" t="inlineStr">
        <is>
          <t>ส่งออกข้อมูลของฉัน</t>
        </is>
      </c>
      <c r="F20" s="5" t="inlineStr">
        <is>
          <t>ระบบต้องให้ผู้ใช้ดาวน์โหลดข้อมูลส่วนบุคคลของตนเป็นไฟล์ JSON ทันทีจากหน้าตั้งค่า (โปรไฟล์, ตั้งค่า, consent, แชท, feedback)</t>
        </is>
      </c>
      <c r="G20" s="5" t="inlineStr">
        <is>
          <t>member+</t>
        </is>
      </c>
      <c r="H20" s="5" t="inlineStr">
        <is>
          <t>Must (ต้องมี)</t>
        </is>
      </c>
      <c r="I20" s="4" t="inlineStr">
        <is>
          <t>P1</t>
        </is>
      </c>
      <c r="J20" s="5" t="inlineStr">
        <is>
          <t>AC1: Given ผู้ใช้กด "ดาวน์โหลดข้อมูลของฉัน" Then ได้ไฟล์ JSON ของบัญชีนั้น และมีรายการใน app.dsr_requests
AC2: ต้อง login ด้วยบัญชีเดียวกันจึงดาวน์โหลดได้</t>
        </is>
      </c>
      <c r="K20" s="4" t="n">
        <v>2</v>
      </c>
      <c r="L20" s="13" t="inlineStr">
        <is>
          <t>เสร็จแล้ว</t>
        </is>
      </c>
      <c r="M20" s="14" t="n"/>
      <c r="N20" s="14" t="n"/>
      <c r="O20" s="14" t="n"/>
    </row>
    <row r="21" ht="52.5">
      <c r="A21" s="4" t="n">
        <v>17</v>
      </c>
      <c r="B21" s="5" t="inlineStr">
        <is>
          <t>FR-AUTH-018</t>
        </is>
      </c>
      <c r="C21" s="4" t="inlineStr">
        <is>
          <t>M1</t>
        </is>
      </c>
      <c r="D21" s="5" t="inlineStr">
        <is>
          <t>บัญชีผู้ใช้และการเข้าถึง</t>
        </is>
      </c>
      <c r="E21" s="5" t="inlineStr">
        <is>
          <t>ลบบัญชี</t>
        </is>
      </c>
      <c r="F21" s="5" t="inlineStr">
        <is>
          <t>ระบบต้องให้ลบบัญชีด้วยการยืนยันรหัสผ่าน โดยบัญชีเข้าสู่สถานะ pending_deletion ตาม BR-012 และยกเลิกได้ในช่วงผ่อนผัน</t>
        </is>
      </c>
      <c r="G21" s="5" t="inlineStr">
        <is>
          <t>member</t>
        </is>
      </c>
      <c r="H21" s="5" t="inlineStr">
        <is>
          <t>Must (ต้องมี)</t>
        </is>
      </c>
      <c r="I21" s="4" t="inlineStr">
        <is>
          <t>P1</t>
        </is>
      </c>
      <c r="J21" s="5" t="inlineStr">
        <is>
          <t>AC1: Given ยืนยันลบ Then logout ทันที, ลิงก์แชร์ทั้งหมดถูก revoke, ส่งอีเมลยืนยันพร้อมลิงก์ยกเลิก
AC2: Given พ้นช่วงผ่อนผัน Then job ลบข้อมูลส่วนบุคคลแบบถาวร และ audit log เก็บเฉพาะ user id แบบ pseudonymized</t>
        </is>
      </c>
      <c r="K21" s="4" t="n">
        <v>2</v>
      </c>
      <c r="L21" s="13" t="inlineStr">
        <is>
          <t>เสร็จแล้ว</t>
        </is>
      </c>
      <c r="M21" s="14" t="n"/>
      <c r="N21" s="14" t="n"/>
      <c r="O21" s="14" t="n"/>
    </row>
    <row r="22" ht="40">
      <c r="A22" s="4" t="n">
        <v>18</v>
      </c>
      <c r="B22" s="5" t="inlineStr">
        <is>
          <t>FR-AUTH-019</t>
        </is>
      </c>
      <c r="C22" s="4" t="inlineStr">
        <is>
          <t>M1</t>
        </is>
      </c>
      <c r="D22" s="5" t="inlineStr">
        <is>
          <t>บัญชีผู้ใช้และการเข้าถึง</t>
        </is>
      </c>
      <c r="E22" s="5" t="inlineStr">
        <is>
          <t>ป้องกันการเดารหัสผ่าน</t>
        </is>
      </c>
      <c r="F22" s="5" t="inlineStr">
        <is>
          <t>ระบบต้องจำกัดความพยายาม login ล้มเหลวต่อบัญชีและต่อ IP ตาม BR-016</t>
        </is>
      </c>
      <c r="G22" s="5" t="inlineStr">
        <is>
          <t>all</t>
        </is>
      </c>
      <c r="H22" s="5" t="inlineStr">
        <is>
          <t>Must (ต้องมี)</t>
        </is>
      </c>
      <c r="I22" s="4" t="inlineStr">
        <is>
          <t>P1</t>
        </is>
      </c>
      <c r="J22" s="5" t="inlineStr">
        <is>
          <t>AC1: Given ล้มเหลว 5 ครั้งใน 15 นาที Then ล็อก 15 นาที และแจ้งเจ้าของบัญชีทางอีเมล
AC2: ทุกเหตุการณ์ login (สำเร็จ/ล้มเหลว/ล็อก) ถูกบันทึกใน app.audit_log</t>
        </is>
      </c>
      <c r="K22" s="4" t="n">
        <v>2</v>
      </c>
      <c r="L22" s="13" t="inlineStr">
        <is>
          <t>เสร็จแล้ว</t>
        </is>
      </c>
      <c r="M22" s="14" t="n"/>
      <c r="N22" s="14" t="n"/>
      <c r="O22" s="14" t="n"/>
    </row>
    <row r="23" ht="40">
      <c r="A23" s="4" t="n">
        <v>19</v>
      </c>
      <c r="B23" s="5" t="inlineStr">
        <is>
          <t>FR-AUTH-021</t>
        </is>
      </c>
      <c r="C23" s="4" t="inlineStr">
        <is>
          <t>M1</t>
        </is>
      </c>
      <c r="D23" s="5" t="inlineStr">
        <is>
          <t>บัญชีผู้ใช้และการเข้าถึง</t>
        </is>
      </c>
      <c r="E23" s="5" t="inlineStr">
        <is>
          <t>ตรวจเวอร์ชันแอป (Build check)</t>
        </is>
      </c>
      <c r="F23" s="5" t="inlineStr">
        <is>
          <t>ทุก JSON response ต้องมีฟิลด์ build; เมื่อ client พบ build ต่างจากที่โหลดไว้ ต้องแสดงแถบ "มีเวอร์ชันใหม่ — รีเฟรช" (ตาม AI-EDW)</t>
        </is>
      </c>
      <c r="G23" s="5" t="inlineStr">
        <is>
          <t>all</t>
        </is>
      </c>
      <c r="H23" s="5" t="inlineStr">
        <is>
          <t>Should (ควรมี)</t>
        </is>
      </c>
      <c r="I23" s="4" t="inlineStr">
        <is>
          <t>P0</t>
        </is>
      </c>
      <c r="J23" s="5" t="inlineStr">
        <is>
          <t>AC1: Given deploy build ใหม่ When client เรียก API ครั้งถัดไป Then แสดงแถบแจ้งเตือน (ไม่ reload เองขณะกำลัง stream)</t>
        </is>
      </c>
      <c r="K23" s="4" t="n">
        <v>1</v>
      </c>
      <c r="L23" s="13" t="inlineStr">
        <is>
          <t>เสร็จแล้ว</t>
        </is>
      </c>
      <c r="M23" s="14" t="n"/>
      <c r="N23" s="14" t="n"/>
      <c r="O23" s="14" t="n"/>
    </row>
    <row r="24" ht="77.5">
      <c r="A24" s="4" t="n">
        <v>20</v>
      </c>
      <c r="B24" s="5" t="inlineStr">
        <is>
          <t>FR-AUTH-022</t>
        </is>
      </c>
      <c r="C24" s="4" t="inlineStr">
        <is>
          <t>M1</t>
        </is>
      </c>
      <c r="D24" s="5" t="inlineStr">
        <is>
          <t>บัญชีผู้ใช้และการเข้าถึง</t>
        </is>
      </c>
      <c r="E24" s="5" t="inlineStr">
        <is>
          <t>Role-based Access Control</t>
        </is>
      </c>
      <c r="F24" s="5" t="inlineStr">
        <is>
          <t>ระบบต้องบังคับสิทธิ์ตาม role (guest, member, editor, reviewer, admin) ที่ฝั่ง server ทุก action และตรวจ ownership ของ resource; role ที่ได้จากสคริปต์ scripts/set-role.sh หรือหน้า "ผู้ใช้" ของหลังบ้าน</t>
        </is>
      </c>
      <c r="G24" s="5" t="inlineStr">
        <is>
          <t>all</t>
        </is>
      </c>
      <c r="H24" s="5" t="inlineStr">
        <is>
          <t>Must (ต้องมี)</t>
        </is>
      </c>
      <c r="I24" s="4" t="inlineStr">
        <is>
          <t>P0</t>
        </is>
      </c>
      <c r="J24" s="5" t="inlineStr">
        <is>
          <t>AC1: Given member เรียก admin_* action Then ได้ HTTP 403 และบันทึก audit log
AC2: Given user A ขอ get_chat ของ user B Then ได้ HTTP 404 (ไม่เปิดเผยการมีอยู่)
AC3: ผู้ใช้ 1 คนมี role ระบบได้ 1 role (enum app.user_role); ผู้ที่ส่งเนื้อหาเข้าตรวจล่าสุดอนุมัติเนื้อหานั้นเองไม่ได้ (BR-007)</t>
        </is>
      </c>
      <c r="K24" s="4" t="n">
        <v>3</v>
      </c>
      <c r="L24" s="13" t="inlineStr">
        <is>
          <t>เสร็จแล้ว</t>
        </is>
      </c>
      <c r="M24" s="14" t="n"/>
      <c r="N24" s="14" t="n"/>
      <c r="O24" s="14" t="n"/>
    </row>
    <row r="25" ht="52.5">
      <c r="A25" s="4" t="n">
        <v>21</v>
      </c>
      <c r="B25" s="5" t="inlineStr">
        <is>
          <t>FR-AUTH-023</t>
        </is>
      </c>
      <c r="C25" s="4" t="inlineStr">
        <is>
          <t>M1</t>
        </is>
      </c>
      <c r="D25" s="5" t="inlineStr">
        <is>
          <t>บัญชีผู้ใช้และการเข้าถึง</t>
        </is>
      </c>
      <c r="E25" s="5" t="inlineStr">
        <is>
          <t>ขนาดตัวอักษร (Text Scale)</t>
        </is>
      </c>
      <c r="F25" s="5" t="inlineStr">
        <is>
          <t>ระบบต้องให้ผู้ใช้เลือกขนาดตัวอักษรของเนื้อหา (app.user_settings.text_scale: 100% / 112% / 125% / 150% ตาม CHECK ใน DB) จากหน้าตั้งค่า เพื่อรองรับผู้สูงอายุ; guest เก็บในเบราว์เซอร์ (cookie lc_scale)</t>
        </is>
      </c>
      <c r="G25" s="5" t="inlineStr">
        <is>
          <t>all</t>
        </is>
      </c>
      <c r="H25" s="5" t="inlineStr">
        <is>
          <t>Should (ควรมี)</t>
        </is>
      </c>
      <c r="I25" s="4" t="inlineStr">
        <is>
          <t>P1</t>
        </is>
      </c>
      <c r="J25" s="5" t="inlineStr">
        <is>
          <t>AC1: Given เลือก 125% Then ข้อความแชท บทความ และคู่มือขยายทันทีโดย layout ไม่แตก (สอดคล้อง NFR-A11Y-006) และค่าคงอยู่หลัง reload/login ใหม่
AC2: บันทึกผ่าน update_settings (member) และมีผลกับทุกอุปกรณ์ของบัญชีนั้น</t>
        </is>
      </c>
      <c r="K25" s="4" t="n">
        <v>2</v>
      </c>
      <c r="L25" s="13" t="inlineStr">
        <is>
          <t>เสร็จแล้ว</t>
        </is>
      </c>
      <c r="M25" s="14" t="n"/>
      <c r="N25" s="14" t="n"/>
      <c r="O25" s="14" t="n"/>
    </row>
    <row r="26" ht="102.5">
      <c r="A26" s="4" t="n">
        <v>22</v>
      </c>
      <c r="B26" s="5" t="inlineStr">
        <is>
          <t>FR-AUTH-024</t>
        </is>
      </c>
      <c r="C26" s="4" t="inlineStr">
        <is>
          <t>M1</t>
        </is>
      </c>
      <c r="D26" s="5" t="inlineStr">
        <is>
          <t>บัญชีผู้ใช้และการเข้าถึง</t>
        </is>
      </c>
      <c r="E26" s="5" t="inlineStr">
        <is>
          <t>ติดตามคำขอใช้สิทธิเจ้าของข้อมูล (DSR)</t>
        </is>
      </c>
      <c r="F26" s="5" t="inlineStr">
        <is>
          <t>ทุกคำขอตามสิทธิ PDPA (เข้าถึง/ขอสำเนา, แก้ไข, ลบ, คัดค้าน, ถอน consent) ต้องสร้างรายการใน app.dsr_requests (request_type: access, export, rectify, erase, object, withdraw_consent) พร้อม due_at = วันรับคำขอ + 30 วัน และผู้ใช้เห็นสถานะคำขอของตนในหน้า "ความเป็นส่วนตัว &amp; ข้อมูลของฉัน"</t>
        </is>
      </c>
      <c r="G26" s="5" t="inlineStr">
        <is>
          <t>member</t>
        </is>
      </c>
      <c r="H26" s="5" t="inlineStr">
        <is>
          <t>Must (ต้องมี)</t>
        </is>
      </c>
      <c r="I26" s="4" t="inlineStr">
        <is>
          <t>P1</t>
        </is>
      </c>
      <c r="J26" s="5" t="inlineStr">
        <is>
          <t>AC1: Given ผู้ใช้ใช้ privacy_export Then มีแถวใน app.dsr_requests ประเภท export สถานะ completed ทันที; Given ใช้ request_account_deletion Then มีแถวประเภท erase สถานะ in_progress และได้อีเมลยืนยันพร้อมลิงก์ยกเลิก
AC2: สถานะเปลี่ยนตามลำดับ received → in_progress → completed | rejected; การปฏิเสธต้องมีเหตุผลที่แจ้งผู้ใช้
AC3: คำขอที่ใกล้ครบ due_at (≤ 7 วัน) ถูกแจ้งเตือนผู้ดูแล (FR-ADM-023) — SLA 30 วันตาม NFR-PRIV-006</t>
        </is>
      </c>
      <c r="K26" s="4" t="n">
        <v>3</v>
      </c>
      <c r="L26" s="13" t="inlineStr">
        <is>
          <t>กำลังทำ</t>
        </is>
      </c>
      <c r="M26" s="14" t="n"/>
      <c r="N26" s="14" t="n"/>
      <c r="O26" s="14" t="inlineStr">
        <is>
          <t>ผู้ใช้เห็นสถานะคำขอ แต่ยังไม่เห็นเหตุผลเมื่อคำขอถูกปฏิเสธ และการถอนความยินยอมยังไม่สร้างรายการคำขอ</t>
        </is>
      </c>
    </row>
    <row r="27" ht="65">
      <c r="A27" s="4" t="n">
        <v>23</v>
      </c>
      <c r="B27" s="5" t="inlineStr">
        <is>
          <t>FR-AUTH-025</t>
        </is>
      </c>
      <c r="C27" s="4" t="inlineStr">
        <is>
          <t>M1</t>
        </is>
      </c>
      <c r="D27" s="5" t="inlineStr">
        <is>
          <t>บัญชีผู้ใช้และการเข้าถึง</t>
        </is>
      </c>
      <c r="E27" s="5" t="inlineStr">
        <is>
          <t>ยืนยันตัวตนสองชั้นสำหรับเจ้าหน้าที่ (TOTP 2FA)</t>
        </is>
      </c>
      <c r="F27" s="5" t="inlineStr">
        <is>
          <t>บัญชีที่มี role editor, reviewer หรือ admin ต้องลงทะเบียน TOTP (Better Auth twoFactor plugin; secret เก็บแบบเข้ารหัสใน app.two_factors) และยืนยันรหัส 6 หลักทุกครั้งที่ login; มี recovery codes แบบใช้ครั้งเดียว</t>
        </is>
      </c>
      <c r="G27" s="5" t="inlineStr">
        <is>
          <t>editor, reviewer, admin</t>
        </is>
      </c>
      <c r="H27" s="5" t="inlineStr">
        <is>
          <t>Must (ต้องมี)</t>
        </is>
      </c>
      <c r="I27" s="4" t="inlineStr">
        <is>
          <t>P1</t>
        </is>
      </c>
      <c r="J27" s="5" t="inlineStr">
        <is>
          <t>AC1: Given ผู้ใช้ได้รับ role staff ครั้งแรก When login Then ถูกบังคับเข้าหน้าตั้งค่า TOTP ก่อนเข้า /admin
AC2: Given ใส่รหัส TOTP ผิด 5 ครั้ง Then ล็อกชั่วคราวตาม FR-AUTH-019 และบันทึก app.audit_log
AC3: สอดคล้อง NFR-SEC-006; "จดจำฉัน" ใช้ไม่ได้กับ role staff (BR-017)</t>
        </is>
      </c>
      <c r="K27" s="4" t="n">
        <v>3</v>
      </c>
      <c r="L27" s="13" t="inlineStr">
        <is>
          <t>กำลังทำ</t>
        </is>
      </c>
      <c r="M27" s="14" t="n"/>
      <c r="N27" s="14" t="n"/>
      <c r="O27" s="14" t="inlineStr">
        <is>
          <t>ยังไม่ล็อกบัญชีและไม่บันทึก audit เมื่อใส่รหัส TOTP ผิด 5 ครั้ง (มีแค่จำกัดอัตรา 10 ครั้ง/15 นาที) และมีตัวเลือกเชื่อถืออุปกรณ์ 30 วัน</t>
        </is>
      </c>
    </row>
    <row r="28" ht="65">
      <c r="A28" s="4" t="n">
        <v>24</v>
      </c>
      <c r="B28" s="5" t="inlineStr">
        <is>
          <t>FR-CHAT-001</t>
        </is>
      </c>
      <c r="C28" s="4" t="inlineStr">
        <is>
          <t>M2</t>
        </is>
      </c>
      <c r="D28" s="5" t="inlineStr">
        <is>
          <t>แชทถามกฎหมาย (หน้าจอและการใช้งาน)</t>
        </is>
      </c>
      <c r="E28" s="5" t="inlineStr">
        <is>
          <t>เริ่มแชทใหม่และ Empty State</t>
        </is>
      </c>
      <c r="F28" s="5" t="inlineStr">
        <is>
          <t>ระบบต้องมีปุ่ม "แชทใหม่" ใน sidebar; หน้าแชทว่างต้องแสดงคำทักทาย, disclaimer สั้น และการ์ดตัวอย่างคำถาม 4 ใบที่ตรงกับเรื่องที่คลังความรู้ครอบคลุม (ค่าปรับส่งงานล่าช้า, ของไม่ได้มาตรฐาน, การเลิกสัญญา, ตรวจข้อสัญญา)</t>
        </is>
      </c>
      <c r="G28" s="5" t="inlineStr">
        <is>
          <t>all</t>
        </is>
      </c>
      <c r="H28" s="5" t="inlineStr">
        <is>
          <t>Must (ต้องมี)</t>
        </is>
      </c>
      <c r="I28" s="4" t="inlineStr">
        <is>
          <t>P1</t>
        </is>
      </c>
      <c r="J28" s="5" t="inlineStr">
        <is>
          <t>AC1: Given ผู้ใช้กด "แชทใหม่" Then พื้นที่แชทว่าง, URL ไม่มี ?chat=, ช่องพิมพ์ได้ focus
AC2: Given กดการ์ดตัวอย่าง Then ข้อความของการ์ดถูกส่งเป็นคำถามทันที
AC3: แชทใหม่ยังไม่ถูกสร้างใน DB จนกว่าจะส่งข้อความแรก (server ส่ง event chat_id)</t>
        </is>
      </c>
      <c r="K28" s="4" t="n">
        <v>3</v>
      </c>
      <c r="L28" s="13" t="inlineStr">
        <is>
          <t>กำลังทำ</t>
        </is>
      </c>
      <c r="M28" s="14" t="n"/>
      <c r="N28" s="14" t="n"/>
      <c r="O28" s="14" t="inlineStr">
        <is>
          <t>เปิดแชทใหม่แล้วช่องพิมพ์ยังไม่ถูกโฟกัสอัตโนมัติ</t>
        </is>
      </c>
    </row>
    <row r="29" ht="77.5">
      <c r="A29" s="4" t="n">
        <v>25</v>
      </c>
      <c r="B29" s="5" t="inlineStr">
        <is>
          <t>FR-CHAT-002</t>
        </is>
      </c>
      <c r="C29" s="4" t="inlineStr">
        <is>
          <t>M2</t>
        </is>
      </c>
      <c r="D29" s="5" t="inlineStr">
        <is>
          <t>แชทถามกฎหมาย (หน้าจอและการใช้งาน)</t>
        </is>
      </c>
      <c r="E29" s="5" t="inlineStr">
        <is>
          <t>ส่งข้อความ</t>
        </is>
      </c>
      <c r="F29" s="5" t="inlineStr">
        <is>
          <t>ระบบต้องมีช่องพิมพ์แบบ auto-grow (ขยายตามข้อความจนถึงความสูงสูงสุดแล้ว scroll), Enter = ส่ง, Shift+Enter = ขึ้นบรรทัดใหม่, ตัวนับอักษรเมื่อใกล้ถึง BR-002</t>
        </is>
      </c>
      <c r="G29" s="5" t="inlineStr">
        <is>
          <t>all</t>
        </is>
      </c>
      <c r="H29" s="5" t="inlineStr">
        <is>
          <t>Must (ต้องมี)</t>
        </is>
      </c>
      <c r="I29" s="4" t="inlineStr">
        <is>
          <t>P1</t>
        </is>
      </c>
      <c r="J29" s="5" t="inlineStr">
        <is>
          <t>AC1: Given ข้อความว่างหรือมีแต่ช่องว่าง Then ปุ่มส่ง disabled
AC2: Given ข้อความเกิน BR-002 Then ส่งไม่ได้และแสดงจำนวนอักษรเกิน
AC3: Given ส่งแล้ว Then bubble ผู้ใช้ปรากฏทันที และ bubble ผู้ช่วยแสดงสถานะ "กำลังวิเคราะห์คำถาม…"
AC4: ระหว่างกำลัง stream ในแชทเดียวกัน ปุ่มส่งเปลี่ยนเป็นปุ่ม "หยุด" (FR-CHAT-005)</t>
        </is>
      </c>
      <c r="K29" s="4" t="n">
        <v>4</v>
      </c>
      <c r="L29" s="13" t="inlineStr">
        <is>
          <t>เสร็จแล้ว</t>
        </is>
      </c>
      <c r="M29" s="14" t="n"/>
      <c r="N29" s="14" t="n"/>
      <c r="O29" s="14" t="n"/>
    </row>
    <row r="30" ht="77.5">
      <c r="A30" s="4" t="n">
        <v>26</v>
      </c>
      <c r="B30" s="5" t="inlineStr">
        <is>
          <t>FR-CHAT-003</t>
        </is>
      </c>
      <c r="C30" s="4" t="inlineStr">
        <is>
          <t>M2</t>
        </is>
      </c>
      <c r="D30" s="5" t="inlineStr">
        <is>
          <t>แชทถามกฎหมาย (หน้าจอและการใช้งาน)</t>
        </is>
      </c>
      <c r="E30" s="5" t="inlineStr">
        <is>
          <t>แสดงคำตอบแบบ Streaming</t>
        </is>
      </c>
      <c r="F30" s="5" t="inlineStr">
        <is>
          <t>ระบบต้องแสดงคำตอบทีละส่วนจาก SSE event chunk พร้อม fade-in เฉพาะส่วนที่เพิ่มใหม่ และ render markdown แบบปลอดภัยระหว่าง stream</t>
        </is>
      </c>
      <c r="G30" s="5" t="inlineStr">
        <is>
          <t>all</t>
        </is>
      </c>
      <c r="H30" s="5" t="inlineStr">
        <is>
          <t>Must (ต้องมี)</t>
        </is>
      </c>
      <c r="I30" s="4" t="inlineStr">
        <is>
          <t>P1</t>
        </is>
      </c>
      <c r="J30" s="5" t="inlineStr">
        <is>
          <t>AC1: Given คำตอบกำลัง stream When ผู้ใช้ไม่ได้เลื่อนขึ้น Then หน้าจอเลื่อนตามอัตโนมัติ; When ผู้ใช้เลื่อนขึ้น Then หยุดเลื่อนตามและแสดงปุ่ม scroll-to-bottom
AC2: Given เครือข่ายขาดกลางคัน Then bubble แสดงข้อความ error ที่อ่านเข้าใจ + ปุ่ม "ลองใหม่" และเก็บส่วนที่ได้รับแล้ว
AC3: TTFT เป็นไปตาม NFR-PERF-001</t>
        </is>
      </c>
      <c r="K30" s="4" t="n">
        <v>3</v>
      </c>
      <c r="L30" s="13" t="inlineStr">
        <is>
          <t>กำลังทำ</t>
        </is>
      </c>
      <c r="M30" s="14" t="n"/>
      <c r="N30" s="14" t="n"/>
      <c r="O30" s="14" t="inlineStr">
        <is>
          <t>ยังไม่มี fade-in เฉพาะส่วนที่เพิ่มใหม่ และ TTFT ที่ 200 สตรีมพร้อมกันเกินเป้าเล็กน้อย (3.48 วินาที)</t>
        </is>
      </c>
    </row>
    <row r="31" ht="52.5">
      <c r="A31" s="4" t="n">
        <v>27</v>
      </c>
      <c r="B31" s="5" t="inlineStr">
        <is>
          <t>FR-CHAT-004</t>
        </is>
      </c>
      <c r="C31" s="4" t="inlineStr">
        <is>
          <t>M2</t>
        </is>
      </c>
      <c r="D31" s="5" t="inlineStr">
        <is>
          <t>แชทถามกฎหมาย (หน้าจอและการใช้งาน)</t>
        </is>
      </c>
      <c r="E31" s="5" t="inlineStr">
        <is>
          <t>แสดงสถานะขั้นตอนการทำงาน</t>
        </is>
      </c>
      <c r="F31" s="5" t="inlineStr">
        <is>
          <t>ระบบต้องแสดงข้อความสถานะจาก event status ใน header ของ bubble ผู้ช่วย (กระพริบเบา ๆ) เช่น "กำลังวิเคราะห์คำถาม", "กำลังค้นตัวบทกฎหมาย", "กำลังตรวจสอบการอ้างอิง" และล้างเมื่อ complete</t>
        </is>
      </c>
      <c r="G31" s="5" t="inlineStr">
        <is>
          <t>all</t>
        </is>
      </c>
      <c r="H31" s="5" t="inlineStr">
        <is>
          <t>Must (ต้องมี)</t>
        </is>
      </c>
      <c r="I31" s="4" t="inlineStr">
        <is>
          <t>P1</t>
        </is>
      </c>
      <c r="J31" s="5" t="inlineStr">
        <is>
          <t>AC1: Given ได้ event status Then ข้อความสถานะแทนที่ข้อความก่อนหน้า (ไม่ต่อท้ายในเนื้อหา)
AC2: Given prefers-reduced-motion Then ไม่มีการกระพริบ</t>
        </is>
      </c>
      <c r="K31" s="4" t="n">
        <v>2</v>
      </c>
      <c r="L31" s="13" t="inlineStr">
        <is>
          <t>เสร็จแล้ว</t>
        </is>
      </c>
      <c r="M31" s="14" t="n"/>
      <c r="N31" s="14" t="n"/>
      <c r="O31" s="14" t="n"/>
    </row>
    <row r="32" ht="40">
      <c r="A32" s="4" t="n">
        <v>28</v>
      </c>
      <c r="B32" s="5" t="inlineStr">
        <is>
          <t>FR-CHAT-005</t>
        </is>
      </c>
      <c r="C32" s="4" t="inlineStr">
        <is>
          <t>M2</t>
        </is>
      </c>
      <c r="D32" s="5" t="inlineStr">
        <is>
          <t>แชทถามกฎหมาย (หน้าจอและการใช้งาน)</t>
        </is>
      </c>
      <c r="E32" s="5" t="inlineStr">
        <is>
          <t>หยุดการสร้างคำตอบ</t>
        </is>
      </c>
      <c r="F32" s="5" t="inlineStr">
        <is>
          <t>ระบบต้องให้กด "หยุด" เพื่อยกเลิก stream (AbortController) และ server ต้องหยุดประมวลผลคำตอบนั้นด้วย</t>
        </is>
      </c>
      <c r="G32" s="5" t="inlineStr">
        <is>
          <t>all</t>
        </is>
      </c>
      <c r="H32" s="5" t="inlineStr">
        <is>
          <t>Must (ต้องมี)</t>
        </is>
      </c>
      <c r="I32" s="4" t="inlineStr">
        <is>
          <t>P1</t>
        </is>
      </c>
      <c r="J32" s="5" t="inlineStr">
        <is>
          <t>AC1: Given กดหยุด Then ส่วนที่ได้รับแล้วถูกเก็บพร้อมข้อความ "หยุดการสร้างคำตอบแล้ว" และมีปุ่มสร้างใหม่
AC2: ข้อความที่ถูกหยุดนับ quota ตามจริง (นับเมื่อเริ่มส่ง)</t>
        </is>
      </c>
      <c r="K32" s="4" t="n">
        <v>2</v>
      </c>
      <c r="L32" s="13" t="inlineStr">
        <is>
          <t>กำลังทำ</t>
        </is>
      </c>
      <c r="M32" s="14" t="n"/>
      <c r="N32" s="14" t="n"/>
      <c r="O32" s="14" t="inlineStr">
        <is>
          <t>ข้อความที่กดหยุดยังไม่มีปุ่มสร้างคำตอบใหม่ (ปุ่มแสดงเฉพาะคำตอบที่เสร็จสมบูรณ์)</t>
        </is>
      </c>
    </row>
    <row r="33" ht="40">
      <c r="A33" s="4" t="n">
        <v>29</v>
      </c>
      <c r="B33" s="5" t="inlineStr">
        <is>
          <t>FR-CHAT-006</t>
        </is>
      </c>
      <c r="C33" s="4" t="inlineStr">
        <is>
          <t>M2</t>
        </is>
      </c>
      <c r="D33" s="5" t="inlineStr">
        <is>
          <t>แชทถามกฎหมาย (หน้าจอและการใช้งาน)</t>
        </is>
      </c>
      <c r="E33" s="5" t="inlineStr">
        <is>
          <t>สร้างคำตอบใหม่ (Regenerate)</t>
        </is>
      </c>
      <c r="F33" s="5" t="inlineStr">
        <is>
          <t>ระบบต้องมีปุ่ม regenerate ที่คำตอบล่าสุดเท่านั้น ส่ง regenerate: 1 เพื่อแทนที่คำตอบล่าสุด; เก็บเวอร์ชันก่อนหน้าให้สลับดูได้ (‹ 1/2 ›)</t>
        </is>
      </c>
      <c r="G33" s="5" t="inlineStr">
        <is>
          <t>all</t>
        </is>
      </c>
      <c r="H33" s="5" t="inlineStr">
        <is>
          <t>Should (ควรมี)</t>
        </is>
      </c>
      <c r="I33" s="4" t="inlineStr">
        <is>
          <t>P1</t>
        </is>
      </c>
      <c r="J33" s="5" t="inlineStr">
        <is>
          <t>AC1: Given กด regenerate Then คำตอบใหม่แทนที่ในตำแหน่งเดิม และมีตัวสลับเวอร์ชัน
AC2: regenerate นับ quota 1 ข้อความ</t>
        </is>
      </c>
      <c r="K33" s="4" t="n">
        <v>2</v>
      </c>
      <c r="L33" s="13" t="inlineStr">
        <is>
          <t>เสร็จแล้ว</t>
        </is>
      </c>
      <c r="M33" s="14" t="n"/>
      <c r="N33" s="14" t="n"/>
      <c r="O33" s="14" t="n"/>
    </row>
    <row r="34" ht="27.5">
      <c r="A34" s="4" t="n">
        <v>30</v>
      </c>
      <c r="B34" s="5" t="inlineStr">
        <is>
          <t>FR-CHAT-007</t>
        </is>
      </c>
      <c r="C34" s="4" t="inlineStr">
        <is>
          <t>M2</t>
        </is>
      </c>
      <c r="D34" s="5" t="inlineStr">
        <is>
          <t>แชทถามกฎหมาย (หน้าจอและการใช้งาน)</t>
        </is>
      </c>
      <c r="E34" s="5" t="inlineStr">
        <is>
          <t>คัดลอกข้อความ</t>
        </is>
      </c>
      <c r="F34" s="5" t="inlineStr">
        <is>
          <t>ระบบต้องมีปุ่มคัดลอกที่คำตอบของผู้ช่วย (คัดลอกข้อความของคำตอบเป็นข้อความธรรมดา)</t>
        </is>
      </c>
      <c r="G34" s="5" t="inlineStr">
        <is>
          <t>all</t>
        </is>
      </c>
      <c r="H34" s="5" t="inlineStr">
        <is>
          <t>Must (ต้องมี)</t>
        </is>
      </c>
      <c r="I34" s="4" t="inlineStr">
        <is>
          <t>P1</t>
        </is>
      </c>
      <c r="J34" s="5" t="inlineStr">
        <is>
          <t>AC1: Given กดคัดลอก Then ไอคอนเปลี่ยนเป็นสถานะ "คัดลอกแล้ว" 1.5 วินาที และ clipboard มีข้อความของคำตอบ</t>
        </is>
      </c>
      <c r="K34" s="4" t="n">
        <v>1</v>
      </c>
      <c r="L34" s="13" t="inlineStr">
        <is>
          <t>เสร็จแล้ว</t>
        </is>
      </c>
      <c r="M34" s="14" t="n"/>
      <c r="N34" s="14" t="n"/>
      <c r="O34" s="14" t="n"/>
    </row>
    <row r="35" ht="65">
      <c r="A35" s="4" t="n">
        <v>31</v>
      </c>
      <c r="B35" s="5" t="inlineStr">
        <is>
          <t>FR-CHAT-008</t>
        </is>
      </c>
      <c r="C35" s="4" t="inlineStr">
        <is>
          <t>M2</t>
        </is>
      </c>
      <c r="D35" s="5" t="inlineStr">
        <is>
          <t>แชทถามกฎหมาย (หน้าจอและการใช้งาน)</t>
        </is>
      </c>
      <c r="E35" s="5" t="inlineStr">
        <is>
          <t>Render Markdown อย่างปลอดภัย</t>
        </is>
      </c>
      <c r="F35" s="5" t="inlineStr">
        <is>
          <t>ระบบต้อง render markdown (หัวข้อ, list, ตาราง, ตัวหนา, blockquote, ลิงก์) ด้วย react-markdown + remark-gfm + rehype-sanitize (allow-list; ห้าม dangerouslySetInnerHTML กับข้อความดิบ); ลิงก์ภายนอกเปิดแท็บใหม่ rel="noopener noreferrer"; ตารางกว้างเลื่อนแนวนอนได้ และมีปุ่มคัดลอกตาราง</t>
        </is>
      </c>
      <c r="G35" s="5" t="inlineStr">
        <is>
          <t>all</t>
        </is>
      </c>
      <c r="H35" s="5" t="inlineStr">
        <is>
          <t>Must (ต้องมี)</t>
        </is>
      </c>
      <c r="I35" s="4" t="inlineStr">
        <is>
          <t>P1</t>
        </is>
      </c>
      <c r="J35" s="5" t="inlineStr">
        <is>
          <t>AC1: Given ข้อความมี &lt;script&gt; หรือ onerror= Then ไม่ถูก execute (ทดสอบด้วย XSS payload list)
AC2: Given ข้อความมี error Then แสดงเป็น textContent</t>
        </is>
      </c>
      <c r="K35" s="4" t="n">
        <v>2</v>
      </c>
      <c r="L35" s="13" t="inlineStr">
        <is>
          <t>กำลังทำ</t>
        </is>
      </c>
      <c r="M35" s="14" t="n"/>
      <c r="N35" s="14" t="n"/>
      <c r="O35" s="14" t="inlineStr">
        <is>
          <t>ยังไม่มีปุ่มคัดลอกตารางในคำตอบ</t>
        </is>
      </c>
    </row>
    <row r="36" ht="40">
      <c r="A36" s="4" t="n">
        <v>32</v>
      </c>
      <c r="B36" s="5" t="inlineStr">
        <is>
          <t>FR-CHAT-009</t>
        </is>
      </c>
      <c r="C36" s="4" t="inlineStr">
        <is>
          <t>M2</t>
        </is>
      </c>
      <c r="D36" s="5" t="inlineStr">
        <is>
          <t>แชทถามกฎหมาย (หน้าจอและการใช้งาน)</t>
        </is>
      </c>
      <c r="E36" s="5" t="inlineStr">
        <is>
          <t>Citation Chips</t>
        </is>
      </c>
      <c r="F36" s="5" t="inlineStr">
        <is>
          <t>ระบบต้องแสดง citation แบบตัวยก [1] ในเนื้อหา และแถบ chips ท้ายคำตอบ เช่น [1] ป.พ.พ. ม.420, [2] บทความ: ผิดสัญญาเช่า จาก event citations (chip แสดงเลขลำดับและชื่อแหล่ง)</t>
        </is>
      </c>
      <c r="G36" s="5" t="inlineStr">
        <is>
          <t>all</t>
        </is>
      </c>
      <c r="H36" s="5" t="inlineStr">
        <is>
          <t>Must (ต้องมี)</t>
        </is>
      </c>
      <c r="I36" s="4" t="inlineStr">
        <is>
          <t>P1</t>
        </is>
      </c>
      <c r="J36" s="5" t="inlineStr">
        <is>
          <t>AC1: Given click chip หรือ [n] Then เปิด Source Drawer (FR-CHAT-010) ที่รายการนั้น
AC2: Given คำตอบไม่มี citation (เช่น คำทักทาย) Then ไม่แสดงแถบ chips</t>
        </is>
      </c>
      <c r="K36" s="4" t="n">
        <v>2</v>
      </c>
      <c r="L36" s="13" t="inlineStr">
        <is>
          <t>เสร็จแล้ว</t>
        </is>
      </c>
      <c r="M36" s="14" t="n"/>
      <c r="N36" s="14" t="n"/>
      <c r="O36" s="14" t="n"/>
    </row>
    <row r="37" ht="77.5">
      <c r="A37" s="4" t="n">
        <v>33</v>
      </c>
      <c r="B37" s="5" t="inlineStr">
        <is>
          <t>FR-CHAT-010</t>
        </is>
      </c>
      <c r="C37" s="4" t="inlineStr">
        <is>
          <t>M2</t>
        </is>
      </c>
      <c r="D37" s="5" t="inlineStr">
        <is>
          <t>แชทถามกฎหมาย (หน้าจอและการใช้งาน)</t>
        </is>
      </c>
      <c r="E37" s="5" t="inlineStr">
        <is>
          <t>Source Drawer (แผง "แหล่งอ้างอิง")</t>
        </is>
      </c>
      <c r="F37" s="5" t="inlineStr">
        <is>
          <t>ระบบต้องแสดงรายการแหล่งอ้างอิงของคำตอบที่เลือก; แต่ละรายการแสดงชนิดแหล่ง, ชื่อกฎหมาย/บทความ/เลขมาตรา, ข้อความของแหล่งนั้น (ตัวบทแสดงตามวรรค), วันที่ของข้อมูล (as-of), วันมีผล (ถ้ามี), ปุ่ม "เปิดดูฉบับเต็ม" ไปหน้า /law/... / /library/... และลิงก์แหล่งต้นฉบับทางการ (ถ้ามี) — ข้อมูลมากับ event citations ไม่ต้องเรียก endpoint เพิ่ม</t>
        </is>
      </c>
      <c r="G37" s="5" t="inlineStr">
        <is>
          <t>all</t>
        </is>
      </c>
      <c r="H37" s="5" t="inlineStr">
        <is>
          <t>Must (ต้องมี)</t>
        </is>
      </c>
      <c r="I37" s="4" t="inlineStr">
        <is>
          <t>P1</t>
        </is>
      </c>
      <c r="J37" s="5" t="inlineStr">
        <is>
          <t>AC1: Given เปิด drawer บนมือถือ Then แสดงเป็น bottom sheet ปิดด้วยปุ่มปิดหรือกด Esc (บนเดสก์ท็อปเป็นแผงด้านขวา)
AC2: Given เปิดจาก chip หรือ [n] Then เลื่อนไปที่รายการนั้นและเน้นกรอบ</t>
        </is>
      </c>
      <c r="K37" s="4" t="n">
        <v>2</v>
      </c>
      <c r="L37" s="13" t="inlineStr">
        <is>
          <t>เสร็จแล้ว</t>
        </is>
      </c>
      <c r="M37" s="14" t="n"/>
      <c r="N37" s="14" t="n"/>
      <c r="O37" s="14" t="n"/>
    </row>
    <row r="38" ht="102.5">
      <c r="A38" s="4" t="n">
        <v>34</v>
      </c>
      <c r="B38" s="5" t="inlineStr">
        <is>
          <t>FR-CHAT-011</t>
        </is>
      </c>
      <c r="C38" s="4" t="inlineStr">
        <is>
          <t>M2</t>
        </is>
      </c>
      <c r="D38" s="5" t="inlineStr">
        <is>
          <t>แชทถามกฎหมาย (หน้าจอและการใช้งาน)</t>
        </is>
      </c>
      <c r="E38" s="5" t="inlineStr">
        <is>
          <t>ขอบเขตกฎหมาย (Legal Scope Selector)</t>
        </is>
      </c>
      <c r="F38" s="5" t="inlineStr">
        <is>
          <t>ระบบต้องมีแผง "ขอบเขตกฎหมาย" เหนือช่องพิมพ์ แสดง เฉพาะหมวดที่มีเนื้อหาในคลังความรู้ (checkbox) + ตัวเลือก "อัตโนมัติ" (ค่าเริ่มต้น) + "เลือกทั้งหมด" + พับ/ขยายได้; ค่าที่เลือกผูกกับแชทนั้น (หน้าจอแสดงชิป "ขอบเขตกฎหมาย: อัตโนมัติ" เมื่อกดเปิดแผงจะมีข้อความ "ถ้าเลือก คำตอบจะค้นเฉพาะหมวดที่เลือก" และช่องติ๊ก 3 หมวด: "บุคคลและนิติกรรม", "หนี้และสัญญา", "กระบวนการยุติธรรมและวิธีพิจารณาความ" — ยังไม่มี "คุ้มครองผู้บริโภค" ในรายการนี้ทั้งที่หน้า "คลังความรู้" มี 4 หมวด)</t>
        </is>
      </c>
      <c r="G38" s="5" t="inlineStr">
        <is>
          <t>all</t>
        </is>
      </c>
      <c r="H38" s="5" t="inlineStr">
        <is>
          <t>Should (ควรมี)</t>
        </is>
      </c>
      <c r="I38" s="4" t="inlineStr">
        <is>
          <t>P1</t>
        </is>
      </c>
      <c r="J38" s="5" t="inlineStr">
        <is>
          <t>AC1: Given เลือก "อัตโนมัติ" Then request ส่ง scope: "auto" และระบบจัดหมวดเอง
AC2: Given เลือกหมวดที่มีเนื้อหา (เช่น CONTRACT) Then request ส่ง scope: ["CONTRACT"] และการ retrieve จำกัดเฉพาะหมวดนั้น (ตรวจจาก log citations)
AC3: Given เปลี่ยนแชท Then แผงแสดง scope ของแชทนั้น</t>
        </is>
      </c>
      <c r="K38" s="4" t="n">
        <v>3</v>
      </c>
      <c r="L38" s="13" t="inlineStr">
        <is>
          <t>เสร็จแล้ว</t>
        </is>
      </c>
      <c r="M38" s="14" t="n"/>
      <c r="N38" s="14" t="n"/>
      <c r="O38" s="14" t="n"/>
    </row>
    <row r="39" ht="40">
      <c r="A39" s="4" t="n">
        <v>35</v>
      </c>
      <c r="B39" s="5" t="inlineStr">
        <is>
          <t>FR-CHAT-013</t>
        </is>
      </c>
      <c r="C39" s="4" t="inlineStr">
        <is>
          <t>M2</t>
        </is>
      </c>
      <c r="D39" s="5" t="inlineStr">
        <is>
          <t>แชทถามกฎหมาย (หน้าจอและการใช้งาน)</t>
        </is>
      </c>
      <c r="E39" s="5" t="inlineStr">
        <is>
          <t>คำถามต่อเนื่องแนะนำ (Follow-up Suggestions)</t>
        </is>
      </c>
      <c r="F39" s="5" t="inlineStr">
        <is>
          <t>ระบบต้องแสดงคำถามต่อเนื่องแนะนำไม่เกิน 3 ข้อใต้คำตอบล่าสุด (ฟิลด์ followups ของ event suggestions)</t>
        </is>
      </c>
      <c r="G39" s="5" t="inlineStr">
        <is>
          <t>all</t>
        </is>
      </c>
      <c r="H39" s="5" t="inlineStr">
        <is>
          <t>Should (ควรมี)</t>
        </is>
      </c>
      <c r="I39" s="4" t="inlineStr">
        <is>
          <t>P1</t>
        </is>
      </c>
      <c r="J39" s="5" t="inlineStr">
        <is>
          <t>AC1: Given คำตอบเสร็จ Then แสดง suggestion 0–3 รายการ กดแล้วส่งเป็นคำถาม
AC2: suggestion แสดงเฉพาะที่คำตอบล่าสุดเท่านั้น</t>
        </is>
      </c>
      <c r="K39" s="4" t="n">
        <v>2</v>
      </c>
      <c r="L39" s="13" t="inlineStr">
        <is>
          <t>เสร็จแล้ว</t>
        </is>
      </c>
      <c r="M39" s="14" t="n"/>
      <c r="N39" s="14" t="n"/>
      <c r="O39" s="14" t="n"/>
    </row>
    <row r="40" ht="52.5">
      <c r="A40" s="4" t="n">
        <v>36</v>
      </c>
      <c r="B40" s="5" t="inlineStr">
        <is>
          <t>FR-CHAT-014</t>
        </is>
      </c>
      <c r="C40" s="4" t="inlineStr">
        <is>
          <t>M2</t>
        </is>
      </c>
      <c r="D40" s="5" t="inlineStr">
        <is>
          <t>แชทถามกฎหมาย (หน้าจอและการใช้งาน)</t>
        </is>
      </c>
      <c r="E40" s="5" t="inlineStr">
        <is>
          <t>การ์ด "ขั้นตอนถัดไป" (Next-step Cards)</t>
        </is>
      </c>
      <c r="F40" s="5" t="inlineStr">
        <is>
          <t>ระบบต้องแสดงการ์ดลิงก์ไปยังคู่มือ (M5), แบบหนังสือ (M6) หรือบทความ (M3) ที่เกี่ยวข้อง จากฟิลด์ next_steps[] (type: guide, template, article) ของ event suggestions โดยอ้างอิงเฉพาะเนื้อหาที่มีอยู่ในคลัง</t>
        </is>
      </c>
      <c r="G40" s="5" t="inlineStr">
        <is>
          <t>all</t>
        </is>
      </c>
      <c r="H40" s="5" t="inlineStr">
        <is>
          <t>Must (ต้องมี)</t>
        </is>
      </c>
      <c r="I40" s="4" t="inlineStr">
        <is>
          <t>P1</t>
        </is>
      </c>
      <c r="J40" s="5" t="inlineStr">
        <is>
          <t>AC1: Given คำตอบเรื่องบอกเลิกสัญญา Then อาจแสดงการ์ดคู่มือหรือแบบหนังสือที่เกี่ยวข้องซึ่งลิงก์ไปหน้าจริง
AC2: การ์ดที่ลิงก์ไปเนื้อหาที่ไม่มีอยู่/ไม่ published ต้องไม่ถูกแสดง (ตรวจฝั่ง AI service)</t>
        </is>
      </c>
      <c r="K40" s="4" t="n">
        <v>2</v>
      </c>
      <c r="L40" s="13" t="inlineStr">
        <is>
          <t>เสร็จแล้ว</t>
        </is>
      </c>
      <c r="M40" s="14" t="n"/>
      <c r="N40" s="14" t="n"/>
      <c r="O40" s="14" t="n"/>
    </row>
    <row r="41" ht="52.5">
      <c r="A41" s="4" t="n">
        <v>37</v>
      </c>
      <c r="B41" s="5" t="inlineStr">
        <is>
          <t>FR-CHAT-015</t>
        </is>
      </c>
      <c r="C41" s="4" t="inlineStr">
        <is>
          <t>M2</t>
        </is>
      </c>
      <c r="D41" s="5" t="inlineStr">
        <is>
          <t>แชทถามกฎหมาย (หน้าจอและการใช้งาน)</t>
        </is>
      </c>
      <c r="E41" s="5" t="inlineStr">
        <is>
          <t>Glossary Tooltip</t>
        </is>
      </c>
      <c r="F41" s="5" t="inlineStr">
        <is>
          <t>ระบบต้อง highlight ศัพท์กฎหมายในคำตอบที่มีใน kb.glossary_terms (เฉพาะครั้งแรกที่พบในแต่ละคำตอบ) และแสดงคำอธิบายสั้นเมื่อ hover/tap พร้อมลิงก์ไปหน้าอภิธานศัพท์</t>
        </is>
      </c>
      <c r="G41" s="5" t="inlineStr">
        <is>
          <t>all</t>
        </is>
      </c>
      <c r="H41" s="5" t="inlineStr">
        <is>
          <t>Should (ควรมี)</t>
        </is>
      </c>
      <c r="I41" s="4" t="inlineStr">
        <is>
          <t>P1</t>
        </is>
      </c>
      <c r="J41" s="5" t="inlineStr">
        <is>
          <t>AC1: Given คำตอบมีคำว่า "นิติกรรม" Then คำนั้นมีเส้นใต้ประ และ tooltip แสดงคำอธิบาย
AC2: tooltip เข้าถึงได้ด้วยคีย์บอร์ด (focusable, aria-describedby)
AC3: highlight ทำหลัง stream จบ (ไม่ทำระหว่าง stream)</t>
        </is>
      </c>
      <c r="K41" s="4" t="n">
        <v>3</v>
      </c>
      <c r="L41" s="13" t="inlineStr">
        <is>
          <t>กำลังทำ</t>
        </is>
      </c>
      <c r="M41" s="14" t="n"/>
      <c r="N41" s="14" t="n"/>
      <c r="O41" s="14" t="inlineStr">
        <is>
          <t>ไฮไลต์ศัพท์ทำระหว่างที่คำตอบกำลังไหลอยู่ ยังไม่รอจนสตรีมจบ</t>
        </is>
      </c>
    </row>
    <row r="42" ht="65">
      <c r="A42" s="4" t="n">
        <v>38</v>
      </c>
      <c r="B42" s="5" t="inlineStr">
        <is>
          <t>FR-CHAT-016</t>
        </is>
      </c>
      <c r="C42" s="4" t="inlineStr">
        <is>
          <t>M2</t>
        </is>
      </c>
      <c r="D42" s="5" t="inlineStr">
        <is>
          <t>แชทถามกฎหมาย (หน้าจอและการใช้งาน)</t>
        </is>
      </c>
      <c r="E42" s="5" t="inlineStr">
        <is>
          <t>Feedback 👍/👎 พร้อมเหตุผล</t>
        </is>
      </c>
      <c r="F42" s="5" t="inlineStr">
        <is>
          <t>ระบบต้องมีปุ่ม 👍/👎 ที่ทุกคำตอบ; 👎 เปิด popover ให้เลือกเหตุผลตาม BR-014 (เลือกได้หลายข้อ) + ช่องความเห็น (≤1,000 อักษร) และ checkbox "อนุญาตให้ทีมกฎหมายดูบทสนทนานี้เพื่อปรับปรุง"</t>
        </is>
      </c>
      <c r="G42" s="5" t="inlineStr">
        <is>
          <t>all</t>
        </is>
      </c>
      <c r="H42" s="5" t="inlineStr">
        <is>
          <t>Must (ต้องมี)</t>
        </is>
      </c>
      <c r="I42" s="4" t="inlineStr">
        <is>
          <t>P1</t>
        </is>
      </c>
      <c r="J42" s="5" t="inlineStr">
        <is>
          <t>AC1: Given กด 👍 Then บันทึกทันที ปุ่มเปลี่ยนสถานะ; กดซ้ำ = ยกเลิก
AC2: Given ส่ง 👎 พร้อมอนุญาต Then รายการเข้า feedback queue ของ reviewer (FR-ADM-011) พร้อมบทสนทนา; ถ้าไม่อนุญาต reviewer เห็นเฉพาะเหตุผลและ metadata
AC3: บันทึกใน app.message_feedback พร้อมเหตุผลและความเห็น</t>
        </is>
      </c>
      <c r="K42" s="4" t="n">
        <v>3</v>
      </c>
      <c r="L42" s="13" t="inlineStr">
        <is>
          <t>เสร็จแล้ว</t>
        </is>
      </c>
      <c r="M42" s="14" t="n"/>
      <c r="N42" s="14" t="n"/>
      <c r="O42" s="14" t="n"/>
    </row>
    <row r="43" ht="40">
      <c r="A43" s="4" t="n">
        <v>39</v>
      </c>
      <c r="B43" s="5" t="inlineStr">
        <is>
          <t>FR-CHAT-017</t>
        </is>
      </c>
      <c r="C43" s="4" t="inlineStr">
        <is>
          <t>M2</t>
        </is>
      </c>
      <c r="D43" s="5" t="inlineStr">
        <is>
          <t>แชทถามกฎหมาย (หน้าจอและการใช้งาน)</t>
        </is>
      </c>
      <c r="E43" s="5" t="inlineStr">
        <is>
          <t>บันทึกคำตอบ (Bookmark)</t>
        </is>
      </c>
      <c r="F43" s="5" t="inlineStr">
        <is>
          <t>ระบบต้องให้บันทึกคำตอบลงหน้า "ที่บันทึกไว้" (FR-CHAT-034)</t>
        </is>
      </c>
      <c r="G43" s="5" t="inlineStr">
        <is>
          <t>member+</t>
        </is>
      </c>
      <c r="H43" s="5" t="inlineStr">
        <is>
          <t>Should (ควรมี)</t>
        </is>
      </c>
      <c r="I43" s="4" t="inlineStr">
        <is>
          <t>P1</t>
        </is>
      </c>
      <c r="J43" s="5" t="inlineStr">
        <is>
          <t>AC1: Given กดบันทึก Then รายการปรากฏในหน้า "ที่บันทึกไว้" และไอคอนเปลี่ยนเป็น "บันทึกแล้ว"
AC2: Given guest กดบันทึก Then แสดง prompt ชวนสมัคร</t>
        </is>
      </c>
      <c r="K43" s="4" t="n">
        <v>2</v>
      </c>
      <c r="L43" s="13" t="inlineStr">
        <is>
          <t>เสร็จแล้ว</t>
        </is>
      </c>
      <c r="M43" s="14" t="n"/>
      <c r="N43" s="14" t="n"/>
      <c r="O43" s="14" t="n"/>
    </row>
    <row r="44" ht="65">
      <c r="A44" s="4" t="n">
        <v>40</v>
      </c>
      <c r="B44" s="5" t="inlineStr">
        <is>
          <t>FR-CHAT-018</t>
        </is>
      </c>
      <c r="C44" s="4" t="inlineStr">
        <is>
          <t>M2</t>
        </is>
      </c>
      <c r="D44" s="5" t="inlineStr">
        <is>
          <t>แชทถามกฎหมาย (หน้าจอและการใช้งาน)</t>
        </is>
      </c>
      <c r="E44" s="5" t="inlineStr">
        <is>
          <t>ประวัติแชท (แชทล่าสุด)</t>
        </is>
      </c>
      <c r="F44" s="5" t="inlineStr">
        <is>
          <t>ระบบต้องแสดงรายการแชทใน sidebar เรียง: ปักหมุด → ตามลำดับที่ผู้ใช้จัด/อัปเดตล่าสุด; แสดงชื่อแชทและป้ายสถานะ (กำลังตอบ / มีคำตอบใหม่ / แชร์อยู่)</t>
        </is>
      </c>
      <c r="G44" s="5" t="inlineStr">
        <is>
          <t>all</t>
        </is>
      </c>
      <c r="H44" s="5" t="inlineStr">
        <is>
          <t>Must (ต้องมี)</t>
        </is>
      </c>
      <c r="I44" s="4" t="inlineStr">
        <is>
          <t>P1</t>
        </is>
      </c>
      <c r="J44" s="5" t="inlineStr">
        <is>
          <t>AC1: Given คลิกรายการ Then โหลดแชทนั้นโดยไม่ reload หน้า และ URL เป็น /chat/&lt;chatId&gt;
AC2: Given แชท &gt; 50 รายการ Then โหลดเพิ่มเมื่อเลื่อนถึงท้าย (pagination)
AC3: แสดง loading overlay ระหว่างโหลด (ตาม AI-EDW)</t>
        </is>
      </c>
      <c r="K44" s="4" t="n">
        <v>3</v>
      </c>
      <c r="L44" s="13" t="inlineStr">
        <is>
          <t>กำลังทำ</t>
        </is>
      </c>
      <c r="M44" s="14" t="n"/>
      <c r="N44" s="14" t="n"/>
      <c r="O44" s="14" t="inlineStr">
        <is>
          <t>โหลดแชทเพิ่มด้วยปุ่ม "ดูเพิ่ม" ไม่ใช่เมื่อเลื่อนถึงท้ายรายการ และขณะเปิดแชทยังไม่มี loading overlay</t>
        </is>
      </c>
    </row>
    <row r="45" ht="40">
      <c r="A45" s="4" t="n">
        <v>41</v>
      </c>
      <c r="B45" s="5" t="inlineStr">
        <is>
          <t>FR-CHAT-019</t>
        </is>
      </c>
      <c r="C45" s="4" t="inlineStr">
        <is>
          <t>M2</t>
        </is>
      </c>
      <c r="D45" s="5" t="inlineStr">
        <is>
          <t>แชทถามกฎหมาย (หน้าจอและการใช้งาน)</t>
        </is>
      </c>
      <c r="E45" s="5" t="inlineStr">
        <is>
          <t>กรองแชท</t>
        </is>
      </c>
      <c r="F45" s="5" t="inlineStr">
        <is>
          <t>ระบบต้องมีช่อง "กรองแชท…" ที่กรองตามชื่อแชทแบบ real-time (client-side สำหรับรายการที่โหลดแล้ว + server-side ค้นชื่อเมื่อพิมพ์ ≥2 ตัว)</t>
        </is>
      </c>
      <c r="G45" s="5" t="inlineStr">
        <is>
          <t>all</t>
        </is>
      </c>
      <c r="H45" s="5" t="inlineStr">
        <is>
          <t>Should (ควรมี)</t>
        </is>
      </c>
      <c r="I45" s="4" t="inlineStr">
        <is>
          <t>P1</t>
        </is>
      </c>
      <c r="J45" s="5" t="inlineStr">
        <is>
          <t>AC1: Given พิมพ์ "ที่ดิน" Then แสดงเฉพาะแชทที่ชื่อมีคำนี้ รวมในโฟลเดอร์ (โฟลเดอร์ขยายอัตโนมัติ)
AC2: Given ไม่พบ Then แสดง "ไม่พบแชทที่ตรงกัน"</t>
        </is>
      </c>
      <c r="K45" s="4" t="n">
        <v>2</v>
      </c>
      <c r="L45" s="13" t="inlineStr">
        <is>
          <t>เสร็จแล้ว</t>
        </is>
      </c>
      <c r="M45" s="14" t="n"/>
      <c r="N45" s="14" t="n"/>
      <c r="O45" s="14" t="n"/>
    </row>
    <row r="46" ht="52.5">
      <c r="A46" s="4" t="n">
        <v>42</v>
      </c>
      <c r="B46" s="5" t="inlineStr">
        <is>
          <t>FR-CHAT-020</t>
        </is>
      </c>
      <c r="C46" s="4" t="inlineStr">
        <is>
          <t>M2</t>
        </is>
      </c>
      <c r="D46" s="5" t="inlineStr">
        <is>
          <t>แชทถามกฎหมาย (หน้าจอและการใช้งาน)</t>
        </is>
      </c>
      <c r="E46" s="5" t="inlineStr">
        <is>
          <t>ตั้งชื่อ/เปลี่ยนชื่อแชท</t>
        </is>
      </c>
      <c r="F46" s="5" t="inlineStr">
        <is>
          <t>ระบบต้องตั้งชื่อแชทอัตโนมัติหลังคำตอบแรก (event title_update, FR-AI-014) และให้ผู้ใช้เปลี่ยนชื่อแบบ inline จากเมนู ⋮ (Enter = บันทึก, Esc = ยกเลิก)</t>
        </is>
      </c>
      <c r="G46" s="5" t="inlineStr">
        <is>
          <t>all</t>
        </is>
      </c>
      <c r="H46" s="5" t="inlineStr">
        <is>
          <t>Must (ต้องมี)</t>
        </is>
      </c>
      <c r="I46" s="4" t="inlineStr">
        <is>
          <t>P1</t>
        </is>
      </c>
      <c r="J46" s="5" t="inlineStr">
        <is>
          <t>AC1: Given แชทใหม่ได้คำตอบแรก Then ชื่อใน sidebar เปลี่ยนจาก "แชทใหม่" เป็นชื่อที่ระบบตั้ง ≤ 60 อักษร
AC2: Given ผู้ใช้เปลี่ยนชื่อเอง Then ระบบไม่ตั้งชื่อทับอีก (BR-013)
AC3: ชื่อว่างไม่ถูกบันทึก (คืนค่าเดิม)</t>
        </is>
      </c>
      <c r="K46" s="4" t="n">
        <v>3</v>
      </c>
      <c r="L46" s="13" t="inlineStr">
        <is>
          <t>เสร็จแล้ว</t>
        </is>
      </c>
      <c r="M46" s="14" t="n"/>
      <c r="N46" s="14" t="n"/>
      <c r="O46" s="14" t="n"/>
    </row>
    <row r="47" ht="27.5">
      <c r="A47" s="4" t="n">
        <v>43</v>
      </c>
      <c r="B47" s="5" t="inlineStr">
        <is>
          <t>FR-CHAT-021</t>
        </is>
      </c>
      <c r="C47" s="4" t="inlineStr">
        <is>
          <t>M2</t>
        </is>
      </c>
      <c r="D47" s="5" t="inlineStr">
        <is>
          <t>แชทถามกฎหมาย (หน้าจอและการใช้งาน)</t>
        </is>
      </c>
      <c r="E47" s="5" t="inlineStr">
        <is>
          <t>ปักหมุดแชท</t>
        </is>
      </c>
      <c r="F47" s="5" t="inlineStr">
        <is>
          <t>ระบบต้องให้ปักหมุด/ยกเลิกปักหมุดจากเมนู ⋮; แชทที่ปักหมุดอยู่บนสุดพร้อมไอคอนหมุดและเส้นแบ่ง</t>
        </is>
      </c>
      <c r="G47" s="5" t="inlineStr">
        <is>
          <t>all</t>
        </is>
      </c>
      <c r="H47" s="5" t="inlineStr">
        <is>
          <t>Should (ควรมี)</t>
        </is>
      </c>
      <c r="I47" s="4" t="inlineStr">
        <is>
          <t>P1</t>
        </is>
      </c>
      <c r="J47" s="5" t="inlineStr">
        <is>
          <t>AC1: Given ปักหมุด Then แชทย้ายไปกลุ่มบนสุดทันที; ยกเลิกแล้วกลับตำแหน่งตามเวลา</t>
        </is>
      </c>
      <c r="K47" s="4" t="n">
        <v>1</v>
      </c>
      <c r="L47" s="13" t="inlineStr">
        <is>
          <t>เสร็จแล้ว</t>
        </is>
      </c>
      <c r="M47" s="14" t="n"/>
      <c r="N47" s="14" t="n"/>
      <c r="O47" s="14" t="n"/>
    </row>
    <row r="48" ht="40">
      <c r="A48" s="4" t="n">
        <v>44</v>
      </c>
      <c r="B48" s="5" t="inlineStr">
        <is>
          <t>FR-CHAT-022</t>
        </is>
      </c>
      <c r="C48" s="4" t="inlineStr">
        <is>
          <t>M2</t>
        </is>
      </c>
      <c r="D48" s="5" t="inlineStr">
        <is>
          <t>แชทถามกฎหมาย (หน้าจอและการใช้งาน)</t>
        </is>
      </c>
      <c r="E48" s="5" t="inlineStr">
        <is>
          <t>ลบแชท</t>
        </is>
      </c>
      <c r="F48" s="5" t="inlineStr">
        <is>
          <t>ระบบต้องให้ลบแชทผ่าน confirm dialog; การลบเป็น soft-delete และลิงก์แชร์ของแชทนั้นถูก revoke</t>
        </is>
      </c>
      <c r="G48" s="5" t="inlineStr">
        <is>
          <t>all</t>
        </is>
      </c>
      <c r="H48" s="5" t="inlineStr">
        <is>
          <t>Must (ต้องมี)</t>
        </is>
      </c>
      <c r="I48" s="4" t="inlineStr">
        <is>
          <t>P1</t>
        </is>
      </c>
      <c r="J48" s="5" t="inlineStr">
        <is>
          <t>AC1: Given ยืนยันลบแชทที่กำลังเปิดอยู่ Then กลับไปหน้าแชทใหม่
AC2: Given ลบแชทที่กำลัง stream Then stream ถูกยกเลิกก่อน
AC3: ข้อมูลที่ soft-delete ถูกลบถาวรภายใน 30 วัน (job)</t>
        </is>
      </c>
      <c r="K48" s="4" t="n">
        <v>3</v>
      </c>
      <c r="L48" s="13" t="inlineStr">
        <is>
          <t>เสร็จแล้ว</t>
        </is>
      </c>
      <c r="M48" s="14" t="n"/>
      <c r="N48" s="14" t="n"/>
      <c r="O48" s="14" t="n"/>
    </row>
    <row r="49" ht="52.5">
      <c r="A49" s="4" t="n">
        <v>45</v>
      </c>
      <c r="B49" s="5" t="inlineStr">
        <is>
          <t>FR-CHAT-023</t>
        </is>
      </c>
      <c r="C49" s="4" t="inlineStr">
        <is>
          <t>M2</t>
        </is>
      </c>
      <c r="D49" s="5" t="inlineStr">
        <is>
          <t>แชทถามกฎหมาย (หน้าจอและการใช้งาน)</t>
        </is>
      </c>
      <c r="E49" s="5" t="inlineStr">
        <is>
          <t>โฟลเดอร์แชท</t>
        </is>
      </c>
      <c r="F49" s="5" t="inlineStr">
        <is>
          <t>ระบบต้องให้สร้าง (ปุ่ม + ข้าง "แชทล่าสุด"), เปลี่ยนชื่อ, ลบ (เลือก: ลบเฉพาะโฟลเดอร์และย้ายแชทออก / ลบพร้อมแชท), พับ/ขยาย (จำสถานะ) และแสดงจำนวนแชทในโฟลเดอร์</t>
        </is>
      </c>
      <c r="G49" s="5" t="inlineStr">
        <is>
          <t>member+</t>
        </is>
      </c>
      <c r="H49" s="5" t="inlineStr">
        <is>
          <t>Should (ควรมี)</t>
        </is>
      </c>
      <c r="I49" s="4" t="inlineStr">
        <is>
          <t>P1</t>
        </is>
      </c>
      <c r="J49" s="5" t="inlineStr">
        <is>
          <t>AC1: Given สร้างโฟลเดอร์ Then แสดง input ชื่อแบบ inline, ชื่อซ้ำได้แต่ไม่ว่าง
AC2: Given ลบโฟลเดอร์แบบไม่ลบแชท Then แชทย้ายไปรายการหลัก
AC3: Given reload Then สถานะพับ/ขยายยังคงเดิม</t>
        </is>
      </c>
      <c r="K49" s="4" t="n">
        <v>3</v>
      </c>
      <c r="L49" s="13" t="inlineStr">
        <is>
          <t>เสร็จแล้ว</t>
        </is>
      </c>
      <c r="M49" s="14" t="n"/>
      <c r="N49" s="14" t="n"/>
      <c r="O49" s="14" t="n"/>
    </row>
    <row r="50" ht="65">
      <c r="A50" s="4" t="n">
        <v>46</v>
      </c>
      <c r="B50" s="5" t="inlineStr">
        <is>
          <t>FR-CHAT-025</t>
        </is>
      </c>
      <c r="C50" s="4" t="inlineStr">
        <is>
          <t>M2</t>
        </is>
      </c>
      <c r="D50" s="5" t="inlineStr">
        <is>
          <t>แชทถามกฎหมาย (หน้าจอและการใช้งาน)</t>
        </is>
      </c>
      <c r="E50" s="5" t="inlineStr">
        <is>
          <t>สถานะแชทหลายรายการพร้อมกัน (State Dot)</t>
        </is>
      </c>
      <c r="F50" s="5" t="inlineStr">
        <is>
          <t>ระบบต้องให้สลับไปแชทอื่นระหว่างที่อีกแชทกำลัง stream; sidebar แสดงจุดสถานะ processing (กำลังตอบ) และ reply-ready (มีคำตอบใหม่ยังไม่ได้ดู)</t>
        </is>
      </c>
      <c r="G50" s="5" t="inlineStr">
        <is>
          <t>all</t>
        </is>
      </c>
      <c r="H50" s="5" t="inlineStr">
        <is>
          <t>Should (ควรมี)</t>
        </is>
      </c>
      <c r="I50" s="4" t="inlineStr">
        <is>
          <t>P1</t>
        </is>
      </c>
      <c r="J50" s="5" t="inlineStr">
        <is>
          <t>AC1: Given แชท A กำลัง stream When เปิดแชท B Then stream A ทำงานต่อ และจุดสถานะของ A เป็น processing
AC2: Given A ตอบเสร็จขณะดู B Then จุดของ A เปลี่ยนเป็น reply-ready; เปิด A แล้วจุดหาย
AC3: จำกัด stream พร้อมกันต่อผู้ใช้ = 3 (เกินแล้วแจ้งให้รอ)</t>
        </is>
      </c>
      <c r="K50" s="4" t="n">
        <v>3</v>
      </c>
      <c r="L50" s="13" t="inlineStr">
        <is>
          <t>เสร็จแล้ว</t>
        </is>
      </c>
      <c r="M50" s="14" t="n"/>
      <c r="N50" s="14" t="n"/>
      <c r="O50" s="14" t="n"/>
    </row>
    <row r="51" ht="165">
      <c r="A51" s="4" t="n">
        <v>47</v>
      </c>
      <c r="B51" s="5" t="inlineStr">
        <is>
          <t>FR-CHAT-026</t>
        </is>
      </c>
      <c r="C51" s="4" t="inlineStr">
        <is>
          <t>M2</t>
        </is>
      </c>
      <c r="D51" s="5" t="inlineStr">
        <is>
          <t>แชทถามกฎหมาย (หน้าจอและการใช้งาน)</t>
        </is>
      </c>
      <c r="E51" s="5" t="inlineStr">
        <is>
          <t>แชร์แชท</t>
        </is>
      </c>
      <c r="F51" s="5" t="inlineStr">
        <is>
          <t>ระบบต้องให้สร้างลิงก์แชร์แชทแบบอ่านอย่างเดียว ผ่าน share popup: ตั้งวันหมดอายุ (ค่าเริ่มต้น/สูงสุดตาม BR-004), ตั้งรหัสผ่าน (ไม่บังคับ), คัดลอกลิงก์, ดูรายการลิงก์ที่มีและยกเลิก (revoke)</t>
        </is>
      </c>
      <c r="G51" s="5" t="inlineStr">
        <is>
          <t>member+</t>
        </is>
      </c>
      <c r="H51" s="5" t="inlineStr">
        <is>
          <t>Should (ควรมี)</t>
        </is>
      </c>
      <c r="I51" s="4" t="inlineStr">
        <is>
          <t>P1</t>
        </is>
      </c>
      <c r="J51" s="5" t="inlineStr">
        <is>
          <t>AC1: Given สร้างลิงก์ Then ได้ URL /share/&lt;token&gt; (token สุ่ม ≥128 บิต) และแชทมีป้าย "แชร์อยู่"
AC2: Given revoke Then เปิดลิงก์เดิมได้หน้า "ลิงก์นี้ไม่สามารถใช้งานได้"
AC3: ก่อนสร้างลิงก์ ระบบเตือน "ตรวจสอบว่าไม่มีข้อมูลส่วนตัวในแชทนี้" และสแกนหา PII (เลขบัตร/เบอร์โทร) แล้วแจ้งเตือนถ้าพบ - หมายเหตุ (สิ่งที่เห็นบนหน้าจอ): ปุ่ม "แชร์ลิงก์" ที่หัวแชทเปิดกล่อง "แชร์แชทนี้เป็นลิงก์อ่านอย่างเดียว" มี "หมดอายุใน" 7/30/90/180/365 วัน (ตั้งต้น 30), ช่องติ๊ก "ตั้งรหัสผ่านให้ลิงก์", ปุ่ม "สร้างลิงก์"; หลังสร้างขึ้น "สร้างลิงก์แล้ว" + ปุ่ม "คัดลอก" + ข้อความ "ลิงก์นี้แสดงครั้งเดียว ระบบเก็บเฉพาะค่าแฮช ถ้าทำหาย ให้ยกเลิกแล้วสร้างใหม่" และรายการ "ลิงก์ที่ใช้งานอยู่" (วันหมดอายุ จำนวนครั้งที่เปิด ปุ่ม "ยกเลิกลิงก์"); โฮสต์ของลิงก์ที่สร้างเป็นโฮสต์ที่ผู้ใช้เปิดเว็บอยู่ ไม่ใช่ค่า APP_URL; หน้า /share/&lt;token&gt; มี "ถามต่อในนิติมิตร" และกล่องท้ายหน้าระบุว่าเป็นข้อมูลกฎหมายทั่วไปที่อ้างอิงจากคลังความรู้ของนิติมิตร</t>
        </is>
      </c>
      <c r="K51" s="4" t="n">
        <v>3</v>
      </c>
      <c r="L51" s="13" t="inlineStr">
        <is>
          <t>เสร็จแล้ว</t>
        </is>
      </c>
      <c r="M51" s="14" t="n"/>
      <c r="N51" s="14" t="n"/>
      <c r="O51" s="14" t="n"/>
    </row>
    <row r="52" ht="65">
      <c r="A52" s="4" t="n">
        <v>48</v>
      </c>
      <c r="B52" s="5" t="inlineStr">
        <is>
          <t>FR-CHAT-027</t>
        </is>
      </c>
      <c r="C52" s="4" t="inlineStr">
        <is>
          <t>M2</t>
        </is>
      </c>
      <c r="D52" s="5" t="inlineStr">
        <is>
          <t>แชทถามกฎหมาย (หน้าจอและการใช้งาน)</t>
        </is>
      </c>
      <c r="E52" s="5" t="inlineStr">
        <is>
          <t>ดูแชทที่ถูกแชร์</t>
        </is>
      </c>
      <c r="F52" s="5" t="inlineStr">
        <is>
          <t>ระบบต้องแสดงแชทที่แชร์ในหน้า /share/&lt;token&gt; แบบอ่านอย่างเดียว (ไม่ต้อง login) พร้อม citation (เมื่อคำตอบมี), บรรทัด "ข้อมูล ณ วันที่ …", disclaimer, วันที่แชร์ และปุ่ม "ถามต่อในนิติมิตร" (เปิดแชทใหม่ของผู้ชมพร้อมคำถามแรกของแชทที่แชร์ — ไม่คัดลอกบทสนทนาทั้งหมดเป็น context เพื่อไม่ให้ข้อมูลของเจ้าของแชทตกไปอยู่ในแชทของผู้อื่น)</t>
        </is>
      </c>
      <c r="G52" s="5" t="inlineStr">
        <is>
          <t>all (รวมผู้ไม่ได้ login)</t>
        </is>
      </c>
      <c r="H52" s="5" t="inlineStr">
        <is>
          <t>Should (ควรมี)</t>
        </is>
      </c>
      <c r="I52" s="4" t="inlineStr">
        <is>
          <t>P1</t>
        </is>
      </c>
      <c r="J52" s="5" t="inlineStr">
        <is>
          <t>AC1: Given ลิงก์มีรหัสผ่าน Then ต้องกรอกรหัสก่อน; ผิด 5 ครั้งล็อก 15 นาที
AC2: หน้าแชร์มี noindex และไม่แสดงชื่อ/อีเมลเจ้าของ
AC3: Given ลิงก์หมดอายุ Then แสดงหน้าหมดอายุ</t>
        </is>
      </c>
      <c r="K52" s="4" t="n">
        <v>3</v>
      </c>
      <c r="L52" s="13" t="inlineStr">
        <is>
          <t>เสร็จแล้ว</t>
        </is>
      </c>
      <c r="M52" s="14" t="n"/>
      <c r="N52" s="14" t="n"/>
      <c r="O52" s="14" t="n"/>
    </row>
    <row r="53" ht="40">
      <c r="A53" s="4" t="n">
        <v>49</v>
      </c>
      <c r="B53" s="5" t="inlineStr">
        <is>
          <t>FR-CHAT-028</t>
        </is>
      </c>
      <c r="C53" s="4" t="inlineStr">
        <is>
          <t>M2</t>
        </is>
      </c>
      <c r="D53" s="5" t="inlineStr">
        <is>
          <t>แชทถามกฎหมาย (หน้าจอและการใช้งาน)</t>
        </is>
      </c>
      <c r="E53" s="5" t="inlineStr">
        <is>
          <t>Export แชทเป็น PDF</t>
        </is>
      </c>
      <c r="F53" s="5" t="inlineStr">
        <is>
          <t>ระบบต้องให้พิมพ์/บันทึกแชทเป็น PDF ผ่านหน้าพิมพ์ในเบราว์เซอร์ /print/&lt;chatId&gt; (ชื่อแชท, วันที่ พ.ศ., บทสนทนา, รายการอ้างอิง, disclaimer)</t>
        </is>
      </c>
      <c r="G53" s="5" t="inlineStr">
        <is>
          <t>member+</t>
        </is>
      </c>
      <c r="H53" s="5" t="inlineStr">
        <is>
          <t>Could (อาจมี)</t>
        </is>
      </c>
      <c r="I53" s="4" t="inlineStr">
        <is>
          <t>P1</t>
        </is>
      </c>
      <c r="J53" s="5" t="inlineStr">
        <is>
          <t>AC1: Given กด "พิมพ์ / PDF" Then เปิดหน้าพิมพ์ที่ไม่มี sidebar/header และสั่งพิมพ์/บันทึก PDF ได้
AC2: ฟอนต์ไทยแสดงถูกต้อง (ไม่มีสระลอย/ตัดคำผิดบรรทัด)</t>
        </is>
      </c>
      <c r="K53" s="4" t="n">
        <v>2</v>
      </c>
      <c r="L53" s="13" t="inlineStr">
        <is>
          <t>เสร็จแล้ว</t>
        </is>
      </c>
      <c r="M53" s="14" t="n"/>
      <c r="N53" s="14" t="n"/>
      <c r="O53" s="14" t="n"/>
    </row>
    <row r="54" ht="27.5">
      <c r="A54" s="4" t="n">
        <v>50</v>
      </c>
      <c r="B54" s="5" t="inlineStr">
        <is>
          <t>FR-CHAT-029</t>
        </is>
      </c>
      <c r="C54" s="4" t="inlineStr">
        <is>
          <t>M2</t>
        </is>
      </c>
      <c r="D54" s="5" t="inlineStr">
        <is>
          <t>แชทถามกฎหมาย (หน้าจอและการใช้งาน)</t>
        </is>
      </c>
      <c r="E54" s="5" t="inlineStr">
        <is>
          <t>การเลื่อนหน้าจอและปุ่ม Scroll-to-bottom</t>
        </is>
      </c>
      <c r="F54" s="5" t="inlineStr">
        <is>
          <t>ระบบต้องมีปุ่มเลื่อนลงล่างสุด (อยู่ระหว่างพื้นที่ข้อความกับช่องพิมพ์ ตาม AI-EDW) เมื่อผู้ใช้ไม่ได้อยู่ท้ายแชท</t>
        </is>
      </c>
      <c r="G54" s="5" t="inlineStr">
        <is>
          <t>all</t>
        </is>
      </c>
      <c r="H54" s="5" t="inlineStr">
        <is>
          <t>Should (ควรมี)</t>
        </is>
      </c>
      <c r="I54" s="4" t="inlineStr">
        <is>
          <t>P1</t>
        </is>
      </c>
      <c r="J54" s="5" t="inlineStr">
        <is>
          <t>AC1: Given ผู้ใช้เลื่อนขึ้นเกิน 200px จากท้าย Then ปุ่มปรากฏ; กดแล้วเลื่อนลงแบบ smooth</t>
        </is>
      </c>
      <c r="K54" s="4" t="n">
        <v>1</v>
      </c>
      <c r="L54" s="13" t="inlineStr">
        <is>
          <t>เสร็จแล้ว</t>
        </is>
      </c>
      <c r="M54" s="14" t="n"/>
      <c r="N54" s="14" t="n"/>
      <c r="O54" s="14" t="n"/>
    </row>
    <row r="55" ht="52.5">
      <c r="A55" s="4" t="n">
        <v>51</v>
      </c>
      <c r="B55" s="5" t="inlineStr">
        <is>
          <t>FR-CHAT-030</t>
        </is>
      </c>
      <c r="C55" s="4" t="inlineStr">
        <is>
          <t>M2</t>
        </is>
      </c>
      <c r="D55" s="5" t="inlineStr">
        <is>
          <t>แชทถามกฎหมาย (หน้าจอและการใช้งาน)</t>
        </is>
      </c>
      <c r="E55" s="5" t="inlineStr">
        <is>
          <t>จำแชทล่าสุดและ Deep link</t>
        </is>
      </c>
      <c r="F55" s="5" t="inlineStr">
        <is>
          <t>ระบบต้องจำแชทล่าสุดที่เปิดของสมาชิก (last_chat_id ผ่าน update_settings; guest ไม่จำ) และเปิดแชทนั้นเมื่อกลับเข้า /chat โดยไม่มีพารามิเตอร์; รองรับ /chat/&lt;chatId&gt; และ ?q=&lt;คำถาม&gt; (เติมช่องพิมพ์)</t>
        </is>
      </c>
      <c r="G55" s="5" t="inlineStr">
        <is>
          <t>all</t>
        </is>
      </c>
      <c r="H55" s="5" t="inlineStr">
        <is>
          <t>Should (ควรมี)</t>
        </is>
      </c>
      <c r="I55" s="4" t="inlineStr">
        <is>
          <t>P1</t>
        </is>
      </c>
      <c r="J55" s="5" t="inlineStr">
        <is>
          <t>AC1: Given เปิด /chat/&lt;chatId ที่ไม่ใช่ของผู้ใช้&gt; Then แสดง "ไม่พบแชท" และเปิดแชทใหม่
AC2: Given ?q= Then ข้อความถูกเติมแต่ยังไม่ส่ง (ป้องกันการส่งจากลิงก์ภายนอกโดยไม่ตั้งใจ)</t>
        </is>
      </c>
      <c r="K55" s="4" t="n">
        <v>2</v>
      </c>
      <c r="L55" s="13" t="inlineStr">
        <is>
          <t>เสร็จแล้ว</t>
        </is>
      </c>
      <c r="M55" s="14" t="n"/>
      <c r="N55" s="14" t="n"/>
      <c r="O55" s="14" t="n"/>
    </row>
    <row r="56" ht="65">
      <c r="A56" s="4" t="n">
        <v>52</v>
      </c>
      <c r="B56" s="5" t="inlineStr">
        <is>
          <t>FR-CHAT-031</t>
        </is>
      </c>
      <c r="C56" s="4" t="inlineStr">
        <is>
          <t>M2</t>
        </is>
      </c>
      <c r="D56" s="5" t="inlineStr">
        <is>
          <t>แชทถามกฎหมาย (หน้าจอและการใช้งาน)</t>
        </is>
      </c>
      <c r="E56" s="5" t="inlineStr">
        <is>
          <t>แสดง Safety Notice</t>
        </is>
      </c>
      <c r="F56" s="5" t="inlineStr">
        <is>
          <t>เมื่อได้ event safety_notice ระบบต้องแสดงกล่องเด่น (สี warning/danger ตามระดับ) เหนือ คำตอบ มีหัวข้อ, ข้อความสั้น, และปุ่มโทรออก (tel:) ของสายด่วนที่ตรวจยืนยันแล้ว (ปัจจุบันยังไม่มีข้อมูลติดต่อที่ผ่านการตรวจ จึงยังไม่มีปุ่มโทร)</t>
        </is>
      </c>
      <c r="G56" s="5" t="inlineStr">
        <is>
          <t>all</t>
        </is>
      </c>
      <c r="H56" s="5" t="inlineStr">
        <is>
          <t>Must (ต้องมี)</t>
        </is>
      </c>
      <c r="I56" s="4" t="inlineStr">
        <is>
          <t>P1</t>
        </is>
      </c>
      <c r="J56" s="5" t="inlineStr">
        <is>
          <t>AC1: Given ระดับ urgent Then กล่องใช้สี danger, อยู่บนสุดของ bubble และถูกอ่านโดย screen reader ก่อน (role="alert")
AC2: Given มีหมายเลขที่ตรวจยืนยัน When กดปุ่มโทรบนมือถือ Then เปิดแอปโทรศัพท์
AC3: safety notice ถูกเก็บกับข้อความและแสดงซ้ำเมื่อเปิดแชทย้อนหลัง</t>
        </is>
      </c>
      <c r="K56" s="4" t="n">
        <v>3</v>
      </c>
      <c r="L56" s="13" t="inlineStr">
        <is>
          <t>กำลังทำ</t>
        </is>
      </c>
      <c r="M56" s="14" t="n"/>
      <c r="N56" s="14" t="n"/>
      <c r="O56" s="14" t="inlineStr">
        <is>
          <t>กล่องแจ้งเตือนยังไม่มีหัวข้อ (มีแต่ข้อความสั้น) และยังไม่มีเบอร์โทรที่ตรวจยืนยันแล้ว</t>
        </is>
      </c>
    </row>
    <row r="57" ht="65">
      <c r="A57" s="4" t="n">
        <v>53</v>
      </c>
      <c r="B57" s="5" t="inlineStr">
        <is>
          <t>FR-CHAT-032</t>
        </is>
      </c>
      <c r="C57" s="4" t="inlineStr">
        <is>
          <t>M2</t>
        </is>
      </c>
      <c r="D57" s="5" t="inlineStr">
        <is>
          <t>แชทถามกฎหมาย (หน้าจอและการใช้งาน)</t>
        </is>
      </c>
      <c r="E57" s="5" t="inlineStr">
        <is>
          <t>แสดง Guardrail Bubble</t>
        </is>
      </c>
      <c r="F57" s="5" t="inlineStr">
        <is>
          <t>เมื่อได้ event guardrail ระบบต้องแทนเนื้อหา bubble ด้วยกล่องแจ้งตาม kind + stage: unavailable (ระบบไม่พร้อม), quota/quota (ครบโควตา) — payload ตาม 03-technical-spec.md §3.3 — ข้อความเป็นภาษาคนอ่านได้ ไม่มี JSON ดิบ และไม่มีปุ่ม actions ยกเว้นลองใหม่ (unavailable)</t>
        </is>
      </c>
      <c r="G57" s="5" t="inlineStr">
        <is>
          <t>all</t>
        </is>
      </c>
      <c r="H57" s="5" t="inlineStr">
        <is>
          <t>Must (ต้องมี)</t>
        </is>
      </c>
      <c r="I57" s="4" t="inlineStr">
        <is>
          <t>P1</t>
        </is>
      </c>
      <c r="J57" s="5" t="inlineStr">
        <is>
          <t>AC1: Given เปิดแชทย้อนหลังที่เคยแสดง guardrail bubble Then แสดงเหมือนตอน live
AC2: Given คำถามนอกขอบเขตของคลังความรู้ Then คำตอบ (ไม่ใช่ guardrail bubble) แนะนำว่าคลังครอบคลุมเรื่องใดบ้าง (FR-AI-004)</t>
        </is>
      </c>
      <c r="K57" s="4" t="n">
        <v>2</v>
      </c>
      <c r="L57" s="13" t="inlineStr">
        <is>
          <t>กำลังทำ</t>
        </is>
      </c>
      <c r="M57" s="14" t="n"/>
      <c r="N57" s="14" t="n"/>
      <c r="O57" s="14" t="inlineStr">
        <is>
          <t>กล่องแจ้งเตือนระบบไม่พร้อมยังไม่มีปุ่มลองใหม่</t>
        </is>
      </c>
    </row>
    <row r="58" ht="52.5">
      <c r="A58" s="4" t="n">
        <v>54</v>
      </c>
      <c r="B58" s="5" t="inlineStr">
        <is>
          <t>FR-CHAT-034</t>
        </is>
      </c>
      <c r="C58" s="4" t="inlineStr">
        <is>
          <t>M2</t>
        </is>
      </c>
      <c r="D58" s="5" t="inlineStr">
        <is>
          <t>แชทถามกฎหมาย (หน้าจอและการใช้งาน)</t>
        </is>
      </c>
      <c r="E58" s="5" t="inlineStr">
        <is>
          <t>แท็บ "ที่บันทึกไว้" (Saved Panel)</t>
        </is>
      </c>
      <c r="F58" s="5" t="inlineStr">
        <is>
          <t>ระบบต้องมีหน้า "ที่บันทึกไว้" (/saved): รายการคำตอบที่ bookmark และบทความ/มาตรา/คู่มือ/แบบหนังสือ/คำศัพท์ที่บันทึก; รองรับค้นหา, ปักหมุด, เปลี่ยนชื่อ, ลบ</t>
        </is>
      </c>
      <c r="G58" s="5" t="inlineStr">
        <is>
          <t>member+</t>
        </is>
      </c>
      <c r="H58" s="5" t="inlineStr">
        <is>
          <t>Should (ควรมี)</t>
        </is>
      </c>
      <c r="I58" s="4" t="inlineStr">
        <is>
          <t>P1</t>
        </is>
      </c>
      <c r="J58" s="5" t="inlineStr">
        <is>
          <t>AC1: Given คลิกรายการคำตอบ Then เปิดแชทต้นทางและเลื่อนไปยังคำตอบนั้น (highlight 2 วินาที)
AC2: Given คลิกรายการบทความ Then เปิดหน้าเนื้อหานั้น
AC3: ค้นหากรองตามชื่อแบบ real-time</t>
        </is>
      </c>
      <c r="K58" s="4" t="n">
        <v>3</v>
      </c>
      <c r="L58" s="13" t="inlineStr">
        <is>
          <t>เสร็จแล้ว</t>
        </is>
      </c>
      <c r="M58" s="14" t="n"/>
      <c r="N58" s="14" t="n"/>
      <c r="O58" s="14" t="n"/>
    </row>
    <row r="59" ht="77.5">
      <c r="A59" s="4" t="n">
        <v>55</v>
      </c>
      <c r="B59" s="5" t="inlineStr">
        <is>
          <t>FR-AI-001</t>
        </is>
      </c>
      <c r="C59" s="4" t="inlineStr">
        <is>
          <t>M2</t>
        </is>
      </c>
      <c r="D59" s="5" t="inlineStr">
        <is>
          <t>แชทถามกฎหมาย (เครื่องตอบ/ค้นหา/Guardrails)</t>
        </is>
      </c>
      <c r="E59" s="5" t="inlineStr">
        <is>
          <t>Retrieval แบบ Hybrid ตามขอบเขต</t>
        </is>
      </c>
      <c r="F59" s="5" t="inlineStr">
        <is>
          <t>ระบบต้องค้นเอกสารจาก kb.chunks ด้วย dense (bge-m3) + lexical (token/trigram) ก่อนเลือกข้อความตอบ โดยค้นเฉพาะเนื้อหา published (และ draft เฉพาะระบบทดสอบที่เปิด KB_SERVE_DRAFTS โดยติดป้าย "ฉบับร่าง") และตัวบทเวอร์ชันที่เหมาะสม (FR-AI-013) ภายใน Legal Scope (FR-CHAT-011)</t>
        </is>
      </c>
      <c r="G59" s="5" t="inlineStr">
        <is>
          <t>system</t>
        </is>
      </c>
      <c r="H59" s="5" t="inlineStr">
        <is>
          <t>Must (ต้องมี)</t>
        </is>
      </c>
      <c r="I59" s="4" t="inlineStr">
        <is>
          <t>P1</t>
        </is>
      </c>
      <c r="J59" s="5" t="inlineStr">
        <is>
          <t>AC1: ชุดทดสอบ retrieval (151 เคส, eval.retrieval_eval) ผ่านเกณฑ์ใน 03-technical-spec.md §4.1
AC2: Given คำถามมีเลขมาตรา เช่น "มาตรา 383" Then มาตรานั้นต้องถูกเลือกเป็นคำตอบ (exact match)
AC3: เนื้อหา in_review/archived ต้องไม่ถูก retrieve (ทดสอบอัตโนมัติ); draft ไม่ถูก retrieve ใน production</t>
        </is>
      </c>
      <c r="K59" s="4" t="n">
        <v>3</v>
      </c>
      <c r="L59" s="13" t="inlineStr">
        <is>
          <t>กำลังทำ</t>
        </is>
      </c>
      <c r="M59" s="14" t="n"/>
      <c r="N59" s="14" t="n"/>
      <c r="O59" s="14" t="inlineStr">
        <is>
          <t>ยังไม่มีการทดสอบอัตโนมัติว่าเนื้อหารอตรวจ/เก็บถาวรไม่ถูกค้น และระบบทดสอบที่เปิดฉบับร่างค้นเจอเนื้อหารอตรวจด้วย</t>
        </is>
      </c>
    </row>
    <row r="60" ht="52.5">
      <c r="A60" s="4" t="n">
        <v>56</v>
      </c>
      <c r="B60" s="5" t="inlineStr">
        <is>
          <t>FR-AI-002</t>
        </is>
      </c>
      <c r="C60" s="4" t="inlineStr">
        <is>
          <t>M2</t>
        </is>
      </c>
      <c r="D60" s="5" t="inlineStr">
        <is>
          <t>แชทถามกฎหมาย (เครื่องตอบ/ค้นหา/Guardrails)</t>
        </is>
      </c>
      <c r="E60" s="5" t="inlineStr">
        <is>
          <t>Citation สำหรับข้อเท็จจริงทางกฎหมาย</t>
        </is>
      </c>
      <c r="F60" s="5" t="inlineStr">
        <is>
          <t>ข้อความตัวบทที่ปรากฏในคำตอบต้องผูก citation [n] ไปยังมาตราในคลังความรู้ และระบบต้องส่ง event citations ที่มี source id, ชนิด, label, ตำแหน่งในข้อความ, วันที่มีผล และสถานะ (published/draft)</t>
        </is>
      </c>
      <c r="G60" s="5" t="inlineStr">
        <is>
          <t>system</t>
        </is>
      </c>
      <c r="H60" s="5" t="inlineStr">
        <is>
          <t>Must (ต้องมี)</t>
        </is>
      </c>
      <c r="I60" s="4" t="inlineStr">
        <is>
          <t>P1</t>
        </is>
      </c>
      <c r="J60" s="5" t="inlineStr">
        <is>
          <t>AC1: Given คำตอบอ้างตัวบท Then ทุก marker [n] มี citation คู่กัน และเปิดดูข้อความมาตราคำต่อคำได้ (FR-CHAT-010)
AC2: Given อ้างมาตราที่ไม่มีในคลัง Then ระบบแจ้งว่า "ยังไม่มี… ในคลังความรู้" และไม่สร้าง citation</t>
        </is>
      </c>
      <c r="K60" s="4" t="n">
        <v>2</v>
      </c>
      <c r="L60" s="13" t="inlineStr">
        <is>
          <t>กำลังทำ</t>
        </is>
      </c>
      <c r="M60" s="14" t="n"/>
      <c r="N60" s="14" t="n"/>
      <c r="O60" s="14" t="inlineStr">
        <is>
          <t>event citations ยังไม่ส่งสถานะ published/ฉบับร่างของแหล่ง และในโหมด PNC_PRIMARY คำตอบจาก API บริษัทไม่มีรายการอ้างอิง</t>
        </is>
      </c>
    </row>
    <row r="61" ht="102.5">
      <c r="A61" s="4" t="n">
        <v>57</v>
      </c>
      <c r="B61" s="5" t="inlineStr">
        <is>
          <t>FR-AI-003</t>
        </is>
      </c>
      <c r="C61" s="4" t="inlineStr">
        <is>
          <t>M2</t>
        </is>
      </c>
      <c r="D61" s="5" t="inlineStr">
        <is>
          <t>แชทถามกฎหมาย (เครื่องตอบ/ค้นหา/Guardrails)</t>
        </is>
      </c>
      <c r="E61" s="5" t="inlineStr">
        <is>
          <t>การอ้างอิงต้องตรงกับคลังความรู้</t>
        </is>
      </c>
      <c r="F61" s="5" t="inlineStr">
        <is>
          <t>การอ้างมาตรา/กฎหมายในคำตอบต้องถูก resolve กับ kb.law_sections ฉบับที่มีผลก่อนแสดงผล (ข้อความอ้างอิงในบทความเขียนเป็น token เช่น [[law:ccc:383]] แล้วแปลงเป็น citation) — ระบบไม่แสดงเลขมาตรา เลขฎีกา หรือชื่อกฎหมายที่ไม่มีในคลัง</t>
        </is>
      </c>
      <c r="G61" s="5" t="inlineStr">
        <is>
          <t>system</t>
        </is>
      </c>
      <c r="H61" s="5" t="inlineStr">
        <is>
          <t>Must (ต้องมี)</t>
        </is>
      </c>
      <c r="I61" s="4" t="inlineStr">
        <is>
          <t>P1</t>
        </is>
      </c>
      <c r="J61" s="5" t="inlineStr">
        <is>
          <t>AC1: Given token อ้างอิงที่ไม่มีมาตรานั้นในคลัง Then ข้อความที่ผู้ใช้เห็นไม่มีการอ้างนั้น
AC2: ผลตรวจเก็บใน app.messages.verification / verification_status; บล็อกจาก API ฐานความรู้ของบริษัท (ไม่มี citation) ถูกตั้ง verification_status = warned และบันทึก app.guardrail_events (category=unverified_section) — ดู 03-technical-spec.md §7.15 (ในโหมด PNC_PRIMARY คำตอบจาก API บริษัทที่แสดงทั้งคำตอบไม่มีรายการอ้างอิงและไม่มีป้ายบอกแหล่งบนหน้าจอ)</t>
        </is>
      </c>
      <c r="K61" s="4" t="n">
        <v>2</v>
      </c>
      <c r="L61" s="13" t="inlineStr">
        <is>
          <t>เสร็จแล้ว</t>
        </is>
      </c>
      <c r="M61" s="14" t="n"/>
      <c r="N61" s="14" t="n"/>
      <c r="O61" s="14" t="n"/>
    </row>
    <row r="62" ht="65">
      <c r="A62" s="4" t="n">
        <v>58</v>
      </c>
      <c r="B62" s="5" t="inlineStr">
        <is>
          <t>FR-AI-004</t>
        </is>
      </c>
      <c r="C62" s="4" t="inlineStr">
        <is>
          <t>M2</t>
        </is>
      </c>
      <c r="D62" s="5" t="inlineStr">
        <is>
          <t>แชทถามกฎหมาย (เครื่องตอบ/ค้นหา/Guardrails)</t>
        </is>
      </c>
      <c r="E62" s="5" t="inlineStr">
        <is>
          <t>ตอบอย่างซื่อตรงเมื่อไม่มีข้อมูล</t>
        </is>
      </c>
      <c r="F62" s="5" t="inlineStr">
        <is>
          <t>เมื่อ retrieval ไม่พบเอกสารที่เกี่ยวข้องเพียงพอ (score ต่ำกว่าเกณฑ์) หรือคำถามเป็นเรื่องนอกขอบเขตของคลังความรู้ (เช่น แรงงาน ครอบครัว อาญา จราจร ภาษี) ระบบต้องบอกผู้ใช้ตรง ๆ ว่ายังไม่มีข้อมูลในคลังความรู้ ไม่เดาคำตอบ พร้อมบอกขอบเขตที่คลังครอบคลุมและแนะนำให้ปรึกษาทนายความ</t>
        </is>
      </c>
      <c r="G62" s="5" t="inlineStr">
        <is>
          <t>system</t>
        </is>
      </c>
      <c r="H62" s="5" t="inlineStr">
        <is>
          <t>Must (ต้องมี)</t>
        </is>
      </c>
      <c r="I62" s="4" t="inlineStr">
        <is>
          <t>P1</t>
        </is>
      </c>
      <c r="J62" s="5" t="inlineStr">
        <is>
          <t>AC1: Given คำถามเรื่องที่ไม่มีเนื้อหาในคลัง Then คำตอบไม่มีการอ้างมาตรา และมีข้อความ "ยังไม่พบข้อมูลในคลังความรู้ของนิติมิตร…"
AC2: Given คำถามนอกขอบเขตที่ชัดเจน Then คำตอบระบุหมวดที่ถามว่ายังไม่อยู่ในคลัง</t>
        </is>
      </c>
      <c r="K62" s="4" t="n">
        <v>2</v>
      </c>
      <c r="L62" s="13" t="inlineStr">
        <is>
          <t>เสร็จแล้ว</t>
        </is>
      </c>
      <c r="M62" s="14" t="n"/>
      <c r="N62" s="14" t="n"/>
      <c r="O62" s="14" t="n"/>
    </row>
    <row r="63" ht="102.5">
      <c r="A63" s="4" t="n">
        <v>59</v>
      </c>
      <c r="B63" s="5" t="inlineStr">
        <is>
          <t>FR-AI-006</t>
        </is>
      </c>
      <c r="C63" s="4" t="inlineStr">
        <is>
          <t>M2</t>
        </is>
      </c>
      <c r="D63" s="5" t="inlineStr">
        <is>
          <t>แชทถามกฎหมาย (เครื่องตอบ/ค้นหา/Guardrails)</t>
        </is>
      </c>
      <c r="E63" s="5" t="inlineStr">
        <is>
          <t>คำตอบประกอบจากข้อความในคลังความรู้เท่านั้น</t>
        </is>
      </c>
      <c r="F63" s="5" t="inlineStr">
        <is>
          <t>คำตอบต้องประกอบจากข้อความในคลังความรู้ที่ผู้ตรวจจัดการแล้ว โดยระบบเลือก เรียง และจัดรูปแบบเท่านั้น: (ก) ถามเรื่อง → แสดงบทความ/คู่มือที่ตรงที่สุดทั้งหัวข้อตามโครงของเนื้อหานั้น (สรุป → สิทธิ/หลักกฎหมาย → ขั้นตอน → เอกสาร → ระยะเวลา → เมื่อไรควรปรึกษาทนายความ ตามที่เนื้อหานั้นมี) (ข) ถามเลขมาตรา → แสดงตัวบทคำต่อคำพร้อมฉบับที่ใช้ (ค) ถามความหมายศัพท์ → แสดงคำจากอภิธานศัพท์ (ง) ไม่มีบทความตอบตรง แต่พบตัวบทที่เกี่ยวข้อง → แสดงตัวบทพร้อมข้อความว่าระบบยังอธิบายการใช้กับข้อเท็จจริงของผู้ใช้ไม่ได้</t>
        </is>
      </c>
      <c r="G63" s="5" t="inlineStr">
        <is>
          <t>system</t>
        </is>
      </c>
      <c r="H63" s="5" t="inlineStr">
        <is>
          <t>Must (ต้องมี)</t>
        </is>
      </c>
      <c r="I63" s="4" t="inlineStr">
        <is>
          <t>P1</t>
        </is>
      </c>
      <c r="J63" s="5" t="inlineStr">
        <is>
          <t>AC1: ทุกประโยคในคำตอบสืบย้อนไปยังเนื้อหาในคลังได้ (ชุดทดสอบ eval.extractive_check)
AC2: คำตอบมีบรรทัดปิดท้าย "ข้อมูล ณ วันที่ … · ข้อมูลนี้เป็นความรู้ทั่วไป ไม่ใช่คำปรึกษาทางกฎหมายสำหรับกรณีเฉพาะของคุณ"
AC3: Given เนื้อหาที่ใช้ตอบยังเป็นฉบับร่างที่ยังไม่ผ่านผู้ตรวจ Then คำตอบมีป้าย "ฉบับร่าง — ยังไม่ผ่านผู้ตรวจเนื้อหา" (BR-027)</t>
        </is>
      </c>
      <c r="K63" s="4" t="n">
        <v>3</v>
      </c>
      <c r="L63" s="13" t="inlineStr">
        <is>
          <t>กำลังทำ</t>
        </is>
      </c>
      <c r="M63" s="14" t="n"/>
      <c r="N63" s="14" t="n"/>
      <c r="O63" s="14" t="inlineStr">
        <is>
          <t>โหมด PNC_PRIMARY ที่เปิดอยู่ใช้คำตอบจาก API บริษัททั้งก้อน ไม่ได้ประกอบจากคลังและไม่มีป้ายฉบับร่าง</t>
        </is>
      </c>
    </row>
    <row r="64" ht="52.5">
      <c r="A64" s="4" t="n">
        <v>60</v>
      </c>
      <c r="B64" s="5" t="inlineStr">
        <is>
          <t>FR-AI-008</t>
        </is>
      </c>
      <c r="C64" s="4" t="inlineStr">
        <is>
          <t>M2</t>
        </is>
      </c>
      <c r="D64" s="5" t="inlineStr">
        <is>
          <t>แชทถามกฎหมาย (เครื่องตอบ/ค้นหา/Guardrails)</t>
        </is>
      </c>
      <c r="E64" s="5" t="inlineStr">
        <is>
          <t>Disclaimer และ As-of Date</t>
        </is>
      </c>
      <c r="F64" s="5" t="inlineStr">
        <is>
          <t>ทุกคำตอบเชิงกฎหมายต้องมี disclaimer สั้น (ข้อความมาตรฐาน ไม่ได้แต่งใหม่) และ "ข้อมูล ณ วันที่ …" (วันที่ของตัวบท/เนื้อหาล่าสุดที่ใช้) แสดงท้าย bubble</t>
        </is>
      </c>
      <c r="G64" s="5" t="inlineStr">
        <is>
          <t>system</t>
        </is>
      </c>
      <c r="H64" s="5" t="inlineStr">
        <is>
          <t>Must (ต้องมี)</t>
        </is>
      </c>
      <c r="I64" s="4" t="inlineStr">
        <is>
          <t>P1</t>
        </is>
      </c>
      <c r="J64" s="5" t="inlineStr">
        <is>
          <t>AC1: Given คำตอบมี citation Then footer ของ bubble แสดง as-of date เป็น พ.ศ. (locale th)
AC2: UI render disclaimer จาก i18n key disclaimer_short ที่ footer ของทุก assistant bubble ที่ status=completed</t>
        </is>
      </c>
      <c r="K64" s="4" t="n">
        <v>2</v>
      </c>
      <c r="L64" s="13" t="inlineStr">
        <is>
          <t>กำลังทำ</t>
        </is>
      </c>
      <c r="M64" s="14" t="n"/>
      <c r="N64" s="14" t="n"/>
      <c r="O64" s="14" t="inlineStr">
        <is>
          <t>บรรทัดวันที่และข้อจำกัดมากับเนื้อคำตอบ ไม่ได้ให้หน้าจอแสดงจากข้อความกลางทุกคำตอบ และคำทักทายไม่มีบรรทัดนี้</t>
        </is>
      </c>
    </row>
    <row r="65" ht="90">
      <c r="A65" s="4" t="n">
        <v>61</v>
      </c>
      <c r="B65" s="5" t="inlineStr">
        <is>
          <t>FR-AI-009</t>
        </is>
      </c>
      <c r="C65" s="4" t="inlineStr">
        <is>
          <t>M2</t>
        </is>
      </c>
      <c r="D65" s="5" t="inlineStr">
        <is>
          <t>แชทถามกฎหมาย (เครื่องตอบ/ค้นหา/Guardrails)</t>
        </is>
      </c>
      <c r="E65" s="5" t="inlineStr">
        <is>
          <t>Safety Triage</t>
        </is>
      </c>
      <c r="F65" s="5" t="inlineStr">
        <is>
          <t>ระบบต้องจัดระดับความเร่งด่วนของทุกข้อความผู้ใช้ด้วยชุดคำสำคัญ (keyword) ตามหมวดใน BR-006 และส่ง event safety_notice (level: urgent | caution, category, message, contacts[] — payload ตาม 03-technical-spec.md §3.3) ก่อนเริ่มคำตอบ; หมายเลขโทรศัพท์ใน contacts[] ต้องมาจากข้อมูลที่ตรวจยืนยันแล้วเท่านั้น — ขณะนี้ยังไม่มีข้อมูลติดต่อที่ผ่านการตรวจ กล่องแจ้งเตือนจึงมีข้อความคำแนะนำทั่วไปและยังไม่มีเบอร์โทร</t>
        </is>
      </c>
      <c r="G65" s="5" t="inlineStr">
        <is>
          <t>system</t>
        </is>
      </c>
      <c r="H65" s="5" t="inlineStr">
        <is>
          <t>Must (ต้องมี)</t>
        </is>
      </c>
      <c r="I65" s="4" t="inlineStr">
        <is>
          <t>P1</t>
        </is>
      </c>
      <c r="J65" s="5" t="inlineStr">
        <is>
          <t>AC1: Given ข้อความบ่งชี้ความรุนแรงในครอบครัว ถูกขู่ฆ่า ทำร้ายเด็ก หรือคิดทำร้ายตัวเอง Then level=urgent และกล่อง safety_notice แสดงก่อนคำตอบ
AC2: Given ข้อความบ่งชี้ว่าถูกจับกุม กำลังถูกหลอกโอนเงิน หรือเรื่องใกล้ครบกำหนด (เช่น ได้รับหมายเรียก) Then level=caution
AC3: ผลทดสอบ safety smoke set ต้องครบ 100% (NFR-LEGAL-008)</t>
        </is>
      </c>
      <c r="K65" s="4" t="n">
        <v>3</v>
      </c>
      <c r="L65" s="13" t="inlineStr">
        <is>
          <t>กำลังทำ</t>
        </is>
      </c>
      <c r="M65" s="14" t="n"/>
      <c r="N65" s="14" t="n"/>
      <c r="O65" s="14" t="inlineStr">
        <is>
          <t>ยังไม่มีชุดทดสอบ safety smoke set ครบทุกหมวด (มีทดสอบเพียงไม่กี่ตัวอย่าง) และยังไม่มีเบอร์โทรที่ตรวจยืนยัน</t>
        </is>
      </c>
    </row>
    <row r="66" ht="65">
      <c r="A66" s="4" t="n">
        <v>62</v>
      </c>
      <c r="B66" s="5" t="inlineStr">
        <is>
          <t>FR-AI-012</t>
        </is>
      </c>
      <c r="C66" s="4" t="inlineStr">
        <is>
          <t>M2</t>
        </is>
      </c>
      <c r="D66" s="5" t="inlineStr">
        <is>
          <t>แชทถามกฎหมาย (เครื่องตอบ/ค้นหา/Guardrails)</t>
        </is>
      </c>
      <c r="E66" s="5" t="inlineStr">
        <is>
          <t>Mask PII ก่อนค้นหา บันทึก และส่งต่อ</t>
        </is>
      </c>
      <c r="F66" s="5" t="inlineStr">
        <is>
          <t>ระบบต้องตรวจและแทนที่ PII ในข้อความผู้ใช้ก่อนนำไปค้นหา ก่อนบันทึก log/retrieval log และก่อนส่งไป API ฐานความรู้ของบริษัท (เมื่อเปิดใช้): เลขประจำตัวประชาชน 13 หลัก (ตรวจ checksum), เบอร์โทร, อีเมล, เลขบัญชีธนาคาร ด้วย placeholder เช่น [เลขบัตรประชาชน#1]</t>
        </is>
      </c>
      <c r="G66" s="5" t="inlineStr">
        <is>
          <t>system</t>
        </is>
      </c>
      <c r="H66" s="5" t="inlineStr">
        <is>
          <t>Must (ต้องมี)</t>
        </is>
      </c>
      <c r="I66" s="4" t="inlineStr">
        <is>
          <t>P1</t>
        </is>
      </c>
      <c r="J66" s="5" t="inlineStr">
        <is>
          <t>AC1: Given ข้อความมีเลขบัตร 13 หลักที่ checksum ถูก Then ข้อความที่ใช้ค้นหา/บันทึกไม่มีเลขนั้น (ตรวจจาก test double)
AC2: Precision/recall ของ PII detector บน test set ≥ 0.95/0.95 สำหรับเลขบัตร/เบอร์โทร/อีเมล</t>
        </is>
      </c>
      <c r="K66" s="4" t="n">
        <v>2</v>
      </c>
      <c r="L66" s="13" t="inlineStr">
        <is>
          <t>กำลังทำ</t>
        </is>
      </c>
      <c r="M66" s="14" t="n"/>
      <c r="N66" s="14" t="n"/>
      <c r="O66" s="14" t="inlineStr">
        <is>
          <t>ยังไม่มีชุดทดสอบวัด precision/recall ของตัวตรวจ PII (มีทดสอบตัวอย่างไม่กี่ข้อ) และ placeholder ยังไม่มีเลขลำดับ</t>
        </is>
      </c>
    </row>
    <row r="67" ht="40">
      <c r="A67" s="4" t="n">
        <v>63</v>
      </c>
      <c r="B67" s="5" t="inlineStr">
        <is>
          <t>FR-AI-013</t>
        </is>
      </c>
      <c r="C67" s="4" t="inlineStr">
        <is>
          <t>M2</t>
        </is>
      </c>
      <c r="D67" s="5" t="inlineStr">
        <is>
          <t>แชทถามกฎหมาย (เครื่องตอบ/ค้นหา/Guardrails)</t>
        </is>
      </c>
      <c r="E67" s="5" t="inlineStr">
        <is>
          <t>เลือกเวอร์ชันตัวบทตามวันที่</t>
        </is>
      </c>
      <c r="F67" s="5" t="inlineStr">
        <is>
          <t>ระบบต้องใช้ตัวบทเวอร์ชันที่มีผล ณ วันที่อ้างอิง (as_of, ค่าเริ่มต้น = วันนี้ เขตเวลา Asia/Bangkok) และแสดงฉบับที่ใช้ (BR-009)</t>
        </is>
      </c>
      <c r="G67" s="5" t="inlineStr">
        <is>
          <t>system</t>
        </is>
      </c>
      <c r="H67" s="5" t="inlineStr">
        <is>
          <t>Must (ต้องมี)</t>
        </is>
      </c>
      <c r="I67" s="4" t="inlineStr">
        <is>
          <t>P1</t>
        </is>
      </c>
      <c r="J67" s="5" t="inlineStr">
        <is>
          <t>AC1: Given มาตรามี 2 เวอร์ชัน Then คำตอบใช้เวอร์ชันที่ effective_from ≤ as_of &lt; effective_to และแสดง "ข้อความจาก: &lt;ฉบับ&gt;"
AC2: เวอร์ชันที่ยังไม่มีผล (effective_from ในอนาคต) ไม่ถูกใช้ตอบ</t>
        </is>
      </c>
      <c r="K67" s="4" t="n">
        <v>2</v>
      </c>
      <c r="L67" s="13" t="inlineStr">
        <is>
          <t>กำลังทำ</t>
        </is>
      </c>
      <c r="M67" s="14" t="n"/>
      <c r="N67" s="14" t="n"/>
      <c r="O67" s="14" t="inlineStr">
        <is>
          <t>เลือกตัวบทตามวันที่ได้ แต่แสดง 'ข้อความจาก: ฉบับ' เฉพาะฉบับร่าง และยังไม่มีทดสอบกรณีมี 2 เวอร์ชัน</t>
        </is>
      </c>
    </row>
    <row r="68" ht="40">
      <c r="A68" s="4" t="n">
        <v>64</v>
      </c>
      <c r="B68" s="5" t="inlineStr">
        <is>
          <t>FR-AI-014</t>
        </is>
      </c>
      <c r="C68" s="4" t="inlineStr">
        <is>
          <t>M2</t>
        </is>
      </c>
      <c r="D68" s="5" t="inlineStr">
        <is>
          <t>แชทถามกฎหมาย (เครื่องตอบ/ค้นหา/Guardrails)</t>
        </is>
      </c>
      <c r="E68" s="5" t="inlineStr">
        <is>
          <t>ตั้งชื่อแชทอัตโนมัติ</t>
        </is>
      </c>
      <c r="F68" s="5" t="inlineStr">
        <is>
          <t>หลังคำตอบแรกของแชท ระบบต้องตั้งชื่อแชทจากบรรทัดแรกของคำถาม (หลัง mask PII, ≤60 อักษร, ไม่ตัดกลางพยางค์ไทย) และส่ง event title_update</t>
        </is>
      </c>
      <c r="G68" s="5" t="inlineStr">
        <is>
          <t>system</t>
        </is>
      </c>
      <c r="H68" s="5" t="inlineStr">
        <is>
          <t>Should (ควรมี)</t>
        </is>
      </c>
      <c r="I68" s="4" t="inlineStr">
        <is>
          <t>P1</t>
        </is>
      </c>
      <c r="J68" s="5" t="inlineStr">
        <is>
          <t>AC1: ชื่อไม่มีเลขบัตร/เบอร์โทร/อีเมล (สร้างจากข้อความที่ mask แล้ว)
AC2: ชื่อที่ผู้ใช้ตั้งเองไม่ถูกเขียนทับ (BR-013)</t>
        </is>
      </c>
      <c r="K68" s="4" t="n">
        <v>2</v>
      </c>
      <c r="L68" s="13" t="inlineStr">
        <is>
          <t>เสร็จแล้ว</t>
        </is>
      </c>
      <c r="M68" s="14" t="n"/>
      <c r="N68" s="14" t="n"/>
      <c r="O68" s="14" t="n"/>
    </row>
    <row r="69" ht="52.5">
      <c r="A69" s="4" t="n">
        <v>65</v>
      </c>
      <c r="B69" s="5" t="inlineStr">
        <is>
          <t>FR-AI-015</t>
        </is>
      </c>
      <c r="C69" s="4" t="inlineStr">
        <is>
          <t>M2</t>
        </is>
      </c>
      <c r="D69" s="5" t="inlineStr">
        <is>
          <t>แชทถามกฎหมาย (เครื่องตอบ/ค้นหา/Guardrails)</t>
        </is>
      </c>
      <c r="E69" s="5" t="inlineStr">
        <is>
          <t>Quota การใช้งาน</t>
        </is>
      </c>
      <c r="F69" s="5" t="inlineStr">
        <is>
          <t>ระบบต้องตรวจ quota ข้อความรายวัน (ตาราง app.usage_counters) ก่อนประมวลผลคำถามทุกครั้ง และบันทึกจำนวนข้อความต่อวัน/ต่อผู้ใช้ — ไม่บันทึกข้อความดิบ</t>
        </is>
      </c>
      <c r="G69" s="5" t="inlineStr">
        <is>
          <t>system</t>
        </is>
      </c>
      <c r="H69" s="5" t="inlineStr">
        <is>
          <t>Must (ต้องมี)</t>
        </is>
      </c>
      <c r="I69" s="4" t="inlineStr">
        <is>
          <t>P1</t>
        </is>
      </c>
      <c r="J69" s="5" t="inlineStr">
        <is>
          <t>AC1: Given ครบ quota Then ไม่มีการค้นหา/ตอบ และส่ง event guardrail (kind=quota)
AC2: หน้า "การใช้งาน" ของหลังบ้าน (FR-ADM-016) รวมจำนวนข้อความรายวันได้จากข้อมูลนี้</t>
        </is>
      </c>
      <c r="K69" s="4" t="n">
        <v>2</v>
      </c>
      <c r="L69" s="13" t="inlineStr">
        <is>
          <t>เสร็จแล้ว</t>
        </is>
      </c>
      <c r="M69" s="14" t="n"/>
      <c r="N69" s="14" t="n"/>
      <c r="O69" s="14" t="n"/>
    </row>
    <row r="70" ht="52.5">
      <c r="A70" s="4" t="n">
        <v>66</v>
      </c>
      <c r="B70" s="5" t="inlineStr">
        <is>
          <t>FR-AI-017</t>
        </is>
      </c>
      <c r="C70" s="4" t="inlineStr">
        <is>
          <t>M2</t>
        </is>
      </c>
      <c r="D70" s="5" t="inlineStr">
        <is>
          <t>แชทถามกฎหมาย (เครื่องตอบ/ค้นหา/Guardrails)</t>
        </is>
      </c>
      <c r="E70" s="5" t="inlineStr">
        <is>
          <t>แนะนำให้ปรึกษาทนายความและไม่ทำนายผลคดี</t>
        </is>
      </c>
      <c r="F70" s="5" t="inlineStr">
        <is>
          <t>ระบบต้องไม่ทำนายผลคดีเป็นตัวเลข/ความน่าจะเป็น และต้องแนะนำให้ปรึกษาทนายความเมื่อไม่มีข้อมูลตอบ เมื่อพบเพียงตัวบทโดยไม่อธิบายการใช้กับข้อเท็จจริง หรือเมื่อเรื่องมีมูลค่าสูง/มีกำหนดเวลา</t>
        </is>
      </c>
      <c r="G70" s="5" t="inlineStr">
        <is>
          <t>system</t>
        </is>
      </c>
      <c r="H70" s="5" t="inlineStr">
        <is>
          <t>Must (ต้องมี)</t>
        </is>
      </c>
      <c r="I70" s="4" t="inlineStr">
        <is>
          <t>P1</t>
        </is>
      </c>
      <c r="J70" s="5" t="inlineStr">
        <is>
          <t>AC1: Given ไม่พบข้อมูลในคลัง หรือตอบด้วยตัวบทอย่างเดียว Then คำตอบมีข้อความแนะนำให้ปรึกษาทนายความ
AC2: คำตอบไม่มีข้อความเช่น "โอกาสชนะ 80%" (ข้อความมาจากคลังความรู้ที่ผู้ตรวจจัดการแล้วเท่านั้น)</t>
        </is>
      </c>
      <c r="K70" s="4" t="n">
        <v>2</v>
      </c>
      <c r="L70" s="13" t="inlineStr">
        <is>
          <t>เสร็จแล้ว</t>
        </is>
      </c>
      <c r="M70" s="14" t="n"/>
      <c r="N70" s="14" t="n"/>
      <c r="O70" s="14" t="n"/>
    </row>
    <row r="71" ht="40">
      <c r="A71" s="4" t="n">
        <v>67</v>
      </c>
      <c r="B71" s="5" t="inlineStr">
        <is>
          <t>FR-AI-018</t>
        </is>
      </c>
      <c r="C71" s="4" t="inlineStr">
        <is>
          <t>M2</t>
        </is>
      </c>
      <c r="D71" s="5" t="inlineStr">
        <is>
          <t>แชทถามกฎหมาย (เครื่องตอบ/ค้นหา/Guardrails)</t>
        </is>
      </c>
      <c r="E71" s="5" t="inlineStr">
        <is>
          <t>ภาษาของข้อความระบบ</t>
        </is>
      </c>
      <c r="F71" s="5" t="inlineStr">
        <is>
          <t>ข้อความที่ระบบเป็นผู้เขียน (คำนำ, บรรทัดปิดท้าย, ข้อความไม่พบข้อมูล, สถานะ) ต้องเป็นภาษาของ UI/ผู้ใช้ (th/en); เนื้อหาจากคลังความรู้เป็นภาษาไทย</t>
        </is>
      </c>
      <c r="G71" s="5" t="inlineStr">
        <is>
          <t>system</t>
        </is>
      </c>
      <c r="H71" s="5" t="inlineStr">
        <is>
          <t>Must (ต้องมี)</t>
        </is>
      </c>
      <c r="I71" s="4" t="inlineStr">
        <is>
          <t>P1</t>
        </is>
      </c>
      <c r="J71" s="5" t="inlineStr">
        <is>
          <t>AC1: Given ผู้ใช้ใช้ภาษา English Then คำนำ บรรทัดปิดท้าย และข้อความไม่พบข้อมูลเป็นภาษาอังกฤษ และระบุว่าเนื้อหาจากคลังเป็นภาษาไทย (ตัวบทภาษาไทยเป็นฉบับที่มีผลทางกฎหมาย)</t>
        </is>
      </c>
      <c r="K71" s="4" t="n">
        <v>1</v>
      </c>
      <c r="L71" s="13" t="inlineStr">
        <is>
          <t>เสร็จแล้ว</t>
        </is>
      </c>
      <c r="M71" s="14" t="n"/>
      <c r="N71" s="14" t="n"/>
      <c r="O71" s="14" t="n"/>
    </row>
    <row r="72" ht="40">
      <c r="A72" s="4" t="n">
        <v>68</v>
      </c>
      <c r="B72" s="5" t="inlineStr">
        <is>
          <t>FR-AI-020</t>
        </is>
      </c>
      <c r="C72" s="4" t="inlineStr">
        <is>
          <t>M2</t>
        </is>
      </c>
      <c r="D72" s="5" t="inlineStr">
        <is>
          <t>แชทถามกฎหมาย (เครื่องตอบ/ค้นหา/Guardrails)</t>
        </is>
      </c>
      <c r="E72" s="5" t="inlineStr">
        <is>
          <t>การจัดการเมื่อระบบค้นหาไม่พร้อม</t>
        </is>
      </c>
      <c r="F72" s="5" t="inlineStr">
        <is>
          <t>เมื่อบริการค้นหา/ตอบไม่พร้อมใช้งาน ระบบต้องส่ง event guardrail (kind=unavailable) ที่อ่านเข้าใจได้ พร้อมปุ่มลองใหม่ และไม่ทำให้หน้าอื่น (คลังความรู้, คู่มือ, แบบหนังสือ) ใช้ไม่ได้</t>
        </is>
      </c>
      <c r="G72" s="5" t="inlineStr">
        <is>
          <t>system</t>
        </is>
      </c>
      <c r="H72" s="5" t="inlineStr">
        <is>
          <t>Must (ต้องมี)</t>
        </is>
      </c>
      <c r="I72" s="4" t="inlineStr">
        <is>
          <t>P1</t>
        </is>
      </c>
      <c r="J72" s="5" t="inlineStr">
        <is>
          <t>AC1: Given AI service ไม่พร้อม Then ผู้ใช้เห็นข้อความ "ระบบไม่พร้อมชั่วคราว กรุณาลองใหม่" + ปุ่มลองใหม่
AC2: ข้อความที่ล้มเหลวจากฝั่งระบบไม่นับ quota (BR-001)</t>
        </is>
      </c>
      <c r="K72" s="4" t="n">
        <v>2</v>
      </c>
      <c r="L72" s="13" t="inlineStr">
        <is>
          <t>กำลังทำ</t>
        </is>
      </c>
      <c r="M72" s="14" t="n"/>
      <c r="N72" s="14" t="n"/>
      <c r="O72" s="14" t="inlineStr">
        <is>
          <t>ข้อความที่ระบบไม่พร้อมไม่มีปุ่มลองใหม่ในกล่อง guardrail และข้อความที่ล้มเหลวฝั่งระบบยังถูกนับโควตา</t>
        </is>
      </c>
    </row>
    <row r="73" ht="65">
      <c r="A73" s="4" t="n">
        <v>69</v>
      </c>
      <c r="B73" s="5" t="inlineStr">
        <is>
          <t>FR-KB-001</t>
        </is>
      </c>
      <c r="C73" s="4" t="inlineStr">
        <is>
          <t>M3</t>
        </is>
      </c>
      <c r="D73" s="5" t="inlineStr">
        <is>
          <t>คลังความรู้</t>
        </is>
      </c>
      <c r="E73" s="5" t="inlineStr">
        <is>
          <t>หน้าแรกคลังความรู้</t>
        </is>
      </c>
      <c r="F73" s="5" t="inlineStr">
        <is>
          <t>ระบบต้องแสดง /library เป็น grid การ์ดหมวด (ไอคอน, ชื่อ, จำนวนเนื้อหาแยกตามชนิด) พร้อมช่องค้นหาด้านบน — แสดงเฉพาะหมวดที่มีเนื้อหาในคลัง (ปัจจุบัน: หนี้และสัญญา, บุคคลและนิติกรรม, คุ้มครองผู้บริโภค, กระบวนการยุติธรรม); หมวดอื่นไม่แสดงจนกว่าจะมีเนื้อหา; หน้าเรนเดอร์ตามคำขอ (อยู่หลัง login)</t>
        </is>
      </c>
      <c r="G73" s="5" t="inlineStr">
        <is>
          <t>all</t>
        </is>
      </c>
      <c r="H73" s="5" t="inlineStr">
        <is>
          <t>Must (ต้องมี)</t>
        </is>
      </c>
      <c r="I73" s="4" t="inlineStr">
        <is>
          <t>P1</t>
        </is>
      </c>
      <c r="J73" s="5" t="inlineStr">
        <is>
          <t>AC1: หมวดและรหัสตรงกับ taxonomy ใน 01-blueprint.md §6
AC2: บนมือถือ grid เป็น 1–2 คอลัมน์ ไม่มี horizontal scroll</t>
        </is>
      </c>
      <c r="K73" s="4" t="n">
        <v>2</v>
      </c>
      <c r="L73" s="13" t="inlineStr">
        <is>
          <t>เสร็จแล้ว</t>
        </is>
      </c>
      <c r="M73" s="14" t="n"/>
      <c r="N73" s="14" t="n"/>
      <c r="O73" s="14" t="n"/>
    </row>
    <row r="74" ht="52.5">
      <c r="A74" s="4" t="n">
        <v>70</v>
      </c>
      <c r="B74" s="5" t="inlineStr">
        <is>
          <t>FR-KB-002</t>
        </is>
      </c>
      <c r="C74" s="4" t="inlineStr">
        <is>
          <t>M3</t>
        </is>
      </c>
      <c r="D74" s="5" t="inlineStr">
        <is>
          <t>คลังความรู้</t>
        </is>
      </c>
      <c r="E74" s="5" t="inlineStr">
        <is>
          <t>หน้าหมวด</t>
        </is>
      </c>
      <c r="F74" s="5" t="inlineStr">
        <is>
          <t>ระบบต้องแสดง /library/&lt;category&gt;: คำอธิบายหมวด, หมวดย่อย, รายการเนื้อหาแยกแท็บตามชนิด (บทความ / ตัวบท / แบบหนังสือ / คำศัพท์ — ไม่มีแท็บคู่มือ), ตัวกรองระดับ (พื้นฐาน/ปฏิบัติ/เชิงลึก) และหมวดย่อย (อยู่ใน URL ส่งต่อได้) และ breadcrumb</t>
        </is>
      </c>
      <c r="G74" s="5" t="inlineStr">
        <is>
          <t>all</t>
        </is>
      </c>
      <c r="H74" s="5" t="inlineStr">
        <is>
          <t>Must (ต้องมี)</t>
        </is>
      </c>
      <c r="I74" s="4" t="inlineStr">
        <is>
          <t>P1</t>
        </is>
      </c>
      <c r="J74" s="5" t="inlineStr">
        <is>
          <t>AC1: Given เลือก filter ระดับ "พื้นฐาน" Then แสดงเฉพาะบทความระดับนั้น และ URL สะท้อน filter (แชร์ได้)
AC2: แสดง breadcrumb: คลังความรู้ › &lt;หมวด&gt;</t>
        </is>
      </c>
      <c r="K74" s="4" t="n">
        <v>2</v>
      </c>
      <c r="L74" s="13" t="inlineStr">
        <is>
          <t>เสร็จแล้ว</t>
        </is>
      </c>
      <c r="M74" s="14" t="n"/>
      <c r="N74" s="14" t="n"/>
      <c r="O74" s="14" t="n"/>
    </row>
    <row r="75" ht="52.5">
      <c r="A75" s="4" t="n">
        <v>71</v>
      </c>
      <c r="B75" s="5" t="inlineStr">
        <is>
          <t>FR-KB-003</t>
        </is>
      </c>
      <c r="C75" s="4" t="inlineStr">
        <is>
          <t>M3</t>
        </is>
      </c>
      <c r="D75" s="5" t="inlineStr">
        <is>
          <t>คลังความรู้</t>
        </is>
      </c>
      <c r="E75" s="5" t="inlineStr">
        <is>
          <t>หน้าบทความ</t>
        </is>
      </c>
      <c r="F75" s="5" t="inlineStr">
        <is>
          <t>ระบบต้องแสดงบทความ: ชื่อ, ระดับ, สรุปสั้น, เนื้อหา markdown พร้อม citation ที่เป็นลิงก์ไปมาตรา, "ฐานกฎหมาย" ท้ายบทความ, วันที่ปรับปรุงล่าสุด, ป้ายฉบับร่างเมื่อเนื้อหายังไม่ผ่านผู้ตรวจ, ปุ่มบันทึก (สมาชิก), ปุ่ม "ถามนิติมิตรเรื่องนี้" และ tooltip ศัพท์</t>
        </is>
      </c>
      <c r="G75" s="5" t="inlineStr">
        <is>
          <t>all</t>
        </is>
      </c>
      <c r="H75" s="5" t="inlineStr">
        <is>
          <t>Must (ต้องมี)</t>
        </is>
      </c>
      <c r="I75" s="4" t="inlineStr">
        <is>
          <t>P1</t>
        </is>
      </c>
      <c r="J75" s="5" t="inlineStr">
        <is>
          <t>AC1: หน้าเรนเดอร์ฝั่ง server มี &lt;title&gt; และ meta description
AC2: glossary tooltip ทำงานในบทความ (ใช้ component เดียวกับ FR-CHAT-015)</t>
        </is>
      </c>
      <c r="K75" s="4" t="n">
        <v>2</v>
      </c>
      <c r="L75" s="13" t="inlineStr">
        <is>
          <t>กำลังทำ</t>
        </is>
      </c>
      <c r="M75" s="14" t="n"/>
      <c r="N75" s="14" t="n"/>
      <c r="O75" s="14" t="inlineStr">
        <is>
          <t>หน้าบทความยังไม่แสดงระดับของบทความ และไม่มีส่วน 'ฐานกฎหมาย' ท้ายบทความ (เนื้อหาไม่มีหัวข้อนี้)</t>
        </is>
      </c>
    </row>
    <row r="76" ht="40">
      <c r="A76" s="4" t="n">
        <v>72</v>
      </c>
      <c r="B76" s="5" t="inlineStr">
        <is>
          <t>FR-KB-005</t>
        </is>
      </c>
      <c r="C76" s="4" t="inlineStr">
        <is>
          <t>M3</t>
        </is>
      </c>
      <c r="D76" s="5" t="inlineStr">
        <is>
          <t>คลังความรู้</t>
        </is>
      </c>
      <c r="E76" s="5" t="inlineStr">
        <is>
          <t>รายการกฎหมาย</t>
        </is>
      </c>
      <c r="F76" s="5" t="inlineStr">
        <is>
          <t>ระบบต้องแสดงรายการกฎหมายใน /law จัดกลุ่มตามประเภท (ประมวลกฎหมาย, พระราชบัญญัติ ฯลฯ) พร้อมค้นหาชื่อ/ชื่อย่อ (เช่น "ปพพ", "ป.พ.พ.")</t>
        </is>
      </c>
      <c r="G76" s="5" t="inlineStr">
        <is>
          <t>all</t>
        </is>
      </c>
      <c r="H76" s="5" t="inlineStr">
        <is>
          <t>Must (ต้องมี)</t>
        </is>
      </c>
      <c r="I76" s="4" t="inlineStr">
        <is>
          <t>P1</t>
        </is>
      </c>
      <c r="J76" s="5" t="inlineStr">
        <is>
          <t>AC1: Given พิมพ์ "ปพพ" Then พบ ประมวลกฎหมายแพ่งและพาณิชย์ (รองรับชื่อย่อแบบมี/ไม่มีจุด)
AC2: แต่ละรายการแสดงชื่อเต็ม, ปี พ.ศ., วันที่ปรับปรุงล่าสุด, จำนวนมาตรา</t>
        </is>
      </c>
      <c r="K76" s="4" t="n">
        <v>2</v>
      </c>
      <c r="L76" s="13" t="inlineStr">
        <is>
          <t>กำลังทำ</t>
        </is>
      </c>
      <c r="M76" s="14" t="n"/>
      <c r="N76" s="14" t="n"/>
      <c r="O76" s="14" t="inlineStr">
        <is>
          <t>รายการ ป.พ.พ./ป.วิ.พ. ยังไม่แสดงปี พ.ศ. และวันที่ปรับปรุงล่าสุด (ไม่มีข้อมูล) ค้นหา ปพพ ได้</t>
        </is>
      </c>
    </row>
    <row r="77" ht="52.5">
      <c r="A77" s="4" t="n">
        <v>73</v>
      </c>
      <c r="B77" s="5" t="inlineStr">
        <is>
          <t>FR-KB-006</t>
        </is>
      </c>
      <c r="C77" s="4" t="inlineStr">
        <is>
          <t>M3</t>
        </is>
      </c>
      <c r="D77" s="5" t="inlineStr">
        <is>
          <t>คลังความรู้</t>
        </is>
      </c>
      <c r="E77" s="5" t="inlineStr">
        <is>
          <t>อ่านตัวบท</t>
        </is>
      </c>
      <c r="F77" s="5" t="inlineStr">
        <is>
          <t>ระบบต้องแสดงตัวบทเป็นรายการมาตรา (/law/&lt;code&gt;) พร้อมเลขวรรคที่ขอบซ้าย, ฉบับที่ใช้, วันมีผล (ถ้ายังไม่ยืนยันแสดง "ยังไม่ได้ยืนยัน"), แหล่งที่มา/ลิงก์ต้นฉบับทางการ, หัวข้อในคลังที่อ้างมาตรานั้น และปุ่ม "ถามนิติมิตรเรื่องนี้"</t>
        </is>
      </c>
      <c r="G77" s="5" t="inlineStr">
        <is>
          <t>all</t>
        </is>
      </c>
      <c r="H77" s="5" t="inlineStr">
        <is>
          <t>Must (ต้องมี)</t>
        </is>
      </c>
      <c r="I77" s="4" t="inlineStr">
        <is>
          <t>P1</t>
        </is>
      </c>
      <c r="J77" s="5" t="inlineStr">
        <is>
          <t>AC1: ทุกมาตราแสดงสถานะฉบับ (published/ฉบับร่าง) และแหล่งที่มา
AC2: ข้อความตัวบทต้องตรงกับต้นฉบับทางการ; ฉบับที่ยังไม่ผ่านผู้ตรวจติดป้ายฉบับร่าง (BR-027)</t>
        </is>
      </c>
      <c r="K77" s="4" t="n">
        <v>2</v>
      </c>
      <c r="L77" s="13" t="inlineStr">
        <is>
          <t>เสร็จแล้ว</t>
        </is>
      </c>
      <c r="M77" s="14" t="n"/>
      <c r="N77" s="14" t="n"/>
      <c r="O77" s="14" t="n"/>
    </row>
    <row r="78" ht="27.5">
      <c r="A78" s="4" t="n">
        <v>74</v>
      </c>
      <c r="B78" s="5" t="inlineStr">
        <is>
          <t>FR-KB-008</t>
        </is>
      </c>
      <c r="C78" s="4" t="inlineStr">
        <is>
          <t>M3</t>
        </is>
      </c>
      <c r="D78" s="5" t="inlineStr">
        <is>
          <t>คลังความรู้</t>
        </is>
      </c>
      <c r="E78" s="5" t="inlineStr">
        <is>
          <t>การอ้างอิงไขว้</t>
        </is>
      </c>
      <c r="F78" s="5" t="inlineStr">
        <is>
          <t>ระบบต้องแสดงที่หน้ามาตราว่า "หัวข้อที่อ้างมาตรานี้" (บทความ/คู่มือที่ published หรือ draft ตามโหมดของระบบ)</t>
        </is>
      </c>
      <c r="G78" s="5" t="inlineStr">
        <is>
          <t>all</t>
        </is>
      </c>
      <c r="H78" s="5" t="inlineStr">
        <is>
          <t>Should (ควรมี)</t>
        </is>
      </c>
      <c r="I78" s="4" t="inlineStr">
        <is>
          <t>P1</t>
        </is>
      </c>
      <c r="J78" s="5" t="inlineStr">
        <is>
          <t>AC1: panel แสดงเฉพาะเนื้อหา published (ในระบบที่ไม่เปิดโหมดแสดงฉบับร่าง)</t>
        </is>
      </c>
      <c r="K78" s="4" t="n">
        <v>1</v>
      </c>
      <c r="L78" s="13" t="inlineStr">
        <is>
          <t>กำลังทำ</t>
        </is>
      </c>
      <c r="M78" s="14" t="n"/>
      <c r="N78" s="14" t="n"/>
      <c r="O78" s="14" t="inlineStr">
        <is>
          <t>แผง 'หัวข้อที่อ้างมาตรานี้' แสดงเฉพาะบทความ ยังไม่รวมคู่มือ</t>
        </is>
      </c>
    </row>
    <row r="79" ht="52.5">
      <c r="A79" s="4" t="n">
        <v>75</v>
      </c>
      <c r="B79" s="5" t="inlineStr">
        <is>
          <t>FR-KB-009</t>
        </is>
      </c>
      <c r="C79" s="4" t="inlineStr">
        <is>
          <t>M3</t>
        </is>
      </c>
      <c r="D79" s="5" t="inlineStr">
        <is>
          <t>คลังความรู้</t>
        </is>
      </c>
      <c r="E79" s="5" t="inlineStr">
        <is>
          <t>ค้นหาแบบ Hybrid</t>
        </is>
      </c>
      <c r="F79" s="5" t="inlineStr">
        <is>
          <t>ระบบต้องค้นหาเนื้อหาทุกชนิดด้วย hybrid search (คำ + ความหมาย) พร้อม filter หมวด/ชนิด (บทความ, แบบหนังสือ, คำศัพท์, ตัวบท)/ระดับ, แยกกลุ่มผลลัพธ์ตามชนิด, และปุ่ม "ถามนิติมิตรแทน" เมื่อผลลัพธ์น้อยหรือไม่พบ — ผ่าน POST /v1/kb/search ของ AI service</t>
        </is>
      </c>
      <c r="G79" s="5" t="inlineStr">
        <is>
          <t>all</t>
        </is>
      </c>
      <c r="H79" s="5" t="inlineStr">
        <is>
          <t>Must (ต้องมี)</t>
        </is>
      </c>
      <c r="I79" s="4" t="inlineStr">
        <is>
          <t>P1</t>
        </is>
      </c>
      <c r="J79" s="5" t="inlineStr">
        <is>
          <t>AC1: Given ค้น "ค่าปรับส่งงานช้า" Then บทความที่เกี่ยวข้องอยู่ในอันดับต้น
AC2: latency p95 ≤ 800ms (NFR-PERF-003)</t>
        </is>
      </c>
      <c r="K79" s="4" t="n">
        <v>2</v>
      </c>
      <c r="L79" s="13" t="inlineStr">
        <is>
          <t>กำลังทำ</t>
        </is>
      </c>
      <c r="M79" s="14" t="n"/>
      <c r="N79" s="14" t="n"/>
      <c r="O79" s="14" t="inlineStr">
        <is>
          <t>หน้าค้นหายังกรองได้เฉพาะชนิดเนื้อหา ยังไม่มีตัวกรองหมวดและระดับ</t>
        </is>
      </c>
    </row>
    <row r="80" ht="40">
      <c r="A80" s="4" t="n">
        <v>76</v>
      </c>
      <c r="B80" s="5" t="inlineStr">
        <is>
          <t>FR-KB-010</t>
        </is>
      </c>
      <c r="C80" s="4" t="inlineStr">
        <is>
          <t>M3</t>
        </is>
      </c>
      <c r="D80" s="5" t="inlineStr">
        <is>
          <t>คลังความรู้</t>
        </is>
      </c>
      <c r="E80" s="5" t="inlineStr">
        <is>
          <t>ค้นด้วยเลขมาตรา</t>
        </is>
      </c>
      <c r="F80" s="5" t="inlineStr">
        <is>
          <t>ระบบต้องแปลงรูปแบบค้นหาเลขมาตรา เช่น "ปพพ 383", "ป.พ.พ. มาตรา 383", "ม.383 ปพพ", "CCC 383", เลขไทย "๓๘๓" ไปยังมาตรานั้นโดยตรง; ถ้าค้นมาตราที่ไม่มีในคลังต้องแจ้งว่าไม่พบ ไม่เดาให้</t>
        </is>
      </c>
      <c r="G80" s="5" t="inlineStr">
        <is>
          <t>all</t>
        </is>
      </c>
      <c r="H80" s="5" t="inlineStr">
        <is>
          <t>Must (ต้องมี)</t>
        </is>
      </c>
      <c r="I80" s="4" t="inlineStr">
        <is>
          <t>P1</t>
        </is>
      </c>
      <c r="J80" s="5" t="inlineStr">
        <is>
          <t>AC1: Given ค้น "ปพพ ๓๘๓" Then ผลแรกคือ ป.พ.พ. มาตรา 383 (มาตราที่พิมพ์ตรงขึ้นก่อนและมีป้าย "ตรงกับที่ค้นหา")
AC2: ใช้ได้ทั้งในช่องค้นหาคลังความรู้และหน้า /law</t>
        </is>
      </c>
      <c r="K80" s="4" t="n">
        <v>2</v>
      </c>
      <c r="L80" s="13" t="inlineStr">
        <is>
          <t>กำลังทำ</t>
        </is>
      </c>
      <c r="M80" s="14" t="n"/>
      <c r="N80" s="14" t="n"/>
      <c r="O80" s="14" t="inlineStr">
        <is>
          <t>ช่องค้นหาที่หน้า /law ยังไม่รองรับพิมพ์เลขมาตรา (เช่น ปพพ 383) ใช้ได้เฉพาะช่องค้นหาคลังความรู้</t>
        </is>
      </c>
    </row>
    <row r="81" ht="40">
      <c r="A81" s="4" t="n">
        <v>77</v>
      </c>
      <c r="B81" s="5" t="inlineStr">
        <is>
          <t>FR-KB-011</t>
        </is>
      </c>
      <c r="C81" s="4" t="inlineStr">
        <is>
          <t>M3</t>
        </is>
      </c>
      <c r="D81" s="5" t="inlineStr">
        <is>
          <t>คลังความรู้</t>
        </is>
      </c>
      <c r="E81" s="5" t="inlineStr">
        <is>
          <t>อภิธานศัพท์</t>
        </is>
      </c>
      <c r="F81" s="5" t="inlineStr">
        <is>
          <t>ระบบต้องมีหน้าอภิธานศัพท์ เรียงตามพจนานุกรมไทย + ตัวอักษรกระโดด + ค้นหา และหน้าคำศัพท์ (ความหมายสั้น/ยาว, คำที่ใช้เรียกอีกอย่าง, มาตราที่เกี่ยวข้อง, คำแปลอังกฤษ)</t>
        </is>
      </c>
      <c r="G81" s="5" t="inlineStr">
        <is>
          <t>all</t>
        </is>
      </c>
      <c r="H81" s="5" t="inlineStr">
        <is>
          <t>Must (ต้องมี)</t>
        </is>
      </c>
      <c r="I81" s="4" t="inlineStr">
        <is>
          <t>P1</t>
        </is>
      </c>
      <c r="J81" s="5" t="inlineStr">
        <is>
          <t>AC1: เรียงตามพจนานุกรมไทย (collation ไทย) ถูกต้อง
AC2: คำศัพท์ทุกคำเป็นแหล่งของ tooltip ใน FR-CHAT-015</t>
        </is>
      </c>
      <c r="K81" s="4" t="n">
        <v>2</v>
      </c>
      <c r="L81" s="13" t="inlineStr">
        <is>
          <t>เสร็จแล้ว</t>
        </is>
      </c>
      <c r="M81" s="14" t="n"/>
      <c r="N81" s="14" t="n"/>
      <c r="O81" s="14" t="n"/>
    </row>
    <row r="82" ht="27.5">
      <c r="A82" s="4" t="n">
        <v>78</v>
      </c>
      <c r="B82" s="5" t="inlineStr">
        <is>
          <t>FR-KB-014</t>
        </is>
      </c>
      <c r="C82" s="4" t="inlineStr">
        <is>
          <t>M3</t>
        </is>
      </c>
      <c r="D82" s="5" t="inlineStr">
        <is>
          <t>คลังความรู้</t>
        </is>
      </c>
      <c r="E82" s="5" t="inlineStr">
        <is>
          <t>บันทึกเนื้อหา</t>
        </is>
      </c>
      <c r="F82" s="5" t="inlineStr">
        <is>
          <t>ระบบต้องมีปุ่มบันทึก (ไปที่ "ที่บันทึกไว้") ในบทความ/มาตรา/คู่มือ/แบบหนังสือ/คำศัพท์ สำหรับสมาชิก</t>
        </is>
      </c>
      <c r="G82" s="5" t="inlineStr">
        <is>
          <t>member+</t>
        </is>
      </c>
      <c r="H82" s="5" t="inlineStr">
        <is>
          <t>Should (ควรมี)</t>
        </is>
      </c>
      <c r="I82" s="4" t="inlineStr">
        <is>
          <t>P1</t>
        </is>
      </c>
      <c r="J82" s="5" t="inlineStr">
        <is>
          <t>AC1: Given guest กดบันทึก Then แสดง prompt ชวนสมัคร</t>
        </is>
      </c>
      <c r="K82" s="4" t="n">
        <v>1</v>
      </c>
      <c r="L82" s="13" t="inlineStr">
        <is>
          <t>กำลังทำ</t>
        </is>
      </c>
      <c r="M82" s="14" t="n"/>
      <c r="N82" s="14" t="n"/>
      <c r="O82" s="14" t="inlineStr">
        <is>
          <t>ผู้ทดลองใช้ไม่เห็นปุ่มบันทึกในหน้าเนื้อหา จึงไม่มีข้อความชวนสมัคร (ในแชทมีข้อความชวนสมัคร)</t>
        </is>
      </c>
    </row>
    <row r="83" ht="27.5">
      <c r="A83" s="4" t="n">
        <v>79</v>
      </c>
      <c r="B83" s="5" t="inlineStr">
        <is>
          <t>FR-KB-015</t>
        </is>
      </c>
      <c r="C83" s="4" t="inlineStr">
        <is>
          <t>M3</t>
        </is>
      </c>
      <c r="D83" s="5" t="inlineStr">
        <is>
          <t>คลังความรู้</t>
        </is>
      </c>
      <c r="E83" s="5" t="inlineStr">
        <is>
          <t>ปุ่ม "ถามนิติมิตรเรื่องนี้"</t>
        </is>
      </c>
      <c r="F83" s="5" t="inlineStr">
        <is>
          <t>ทุกหน้าเนื้อหาใน M3/M5/M6 ต้องมีปุ่มที่เปิดหน้าแชทพร้อมเติมคำถามให้ (/chat?q=) โดยไม่ส่งจนกว่าผู้ใช้กดส่งเอง</t>
        </is>
      </c>
      <c r="G83" s="5" t="inlineStr">
        <is>
          <t>all</t>
        </is>
      </c>
      <c r="H83" s="5" t="inlineStr">
        <is>
          <t>Must (ต้องมี)</t>
        </is>
      </c>
      <c r="I83" s="4" t="inlineStr">
        <is>
          <t>P1</t>
        </is>
      </c>
      <c r="J83" s="5" t="inlineStr">
        <is>
          <t>AC1: Given กดปุ่มจากบทความ Then เปิดหน้าแชทที่ช่องพิมพ์มีคำถามเติมไว้ (ไม่ส่งอัตโนมัติ)</t>
        </is>
      </c>
      <c r="K83" s="4" t="n">
        <v>1</v>
      </c>
      <c r="L83" s="13" t="inlineStr">
        <is>
          <t>เสร็จแล้ว</t>
        </is>
      </c>
      <c r="M83" s="14" t="n"/>
      <c r="N83" s="14" t="n"/>
      <c r="O83" s="14" t="n"/>
    </row>
    <row r="84" ht="40">
      <c r="A84" s="4" t="n">
        <v>80</v>
      </c>
      <c r="B84" s="5" t="inlineStr">
        <is>
          <t>FR-KB-016</t>
        </is>
      </c>
      <c r="C84" s="4" t="inlineStr">
        <is>
          <t>M3</t>
        </is>
      </c>
      <c r="D84" s="5" t="inlineStr">
        <is>
          <t>คลังความรู้</t>
        </is>
      </c>
      <c r="E84" s="5" t="inlineStr">
        <is>
          <t>แสดงความสดใหม่ของเนื้อหา</t>
        </is>
      </c>
      <c r="F84" s="5" t="inlineStr">
        <is>
          <t>ทุกเนื้อหาต้องแสดง "ปรับปรุงล่าสุด" (พ.ศ.) และป้าย "ฉบับร่าง — ยังไม่ผ่านผู้ตรวจเนื้อหา" จนกว่าจะมีบันทึกการอนุมัติจริงใน kb.content_reviews (BR-027)</t>
        </is>
      </c>
      <c r="G84" s="5" t="inlineStr">
        <is>
          <t>all</t>
        </is>
      </c>
      <c r="H84" s="5" t="inlineStr">
        <is>
          <t>Must (ต้องมี)</t>
        </is>
      </c>
      <c r="I84" s="4" t="inlineStr">
        <is>
          <t>P1</t>
        </is>
      </c>
      <c r="J84" s="5" t="inlineStr">
        <is>
          <t>AC1: Given เนื้อหาถูกอนุมัติและเผยแพร่ Then ป้ายฉบับร่างหายภายในไม่กี่วินาที</t>
        </is>
      </c>
      <c r="K84" s="4" t="n">
        <v>1</v>
      </c>
      <c r="L84" s="13" t="inlineStr">
        <is>
          <t>กำลังทำ</t>
        </is>
      </c>
      <c r="M84" s="14" t="n"/>
      <c r="N84" s="14" t="n"/>
      <c r="O84" s="14" t="inlineStr">
        <is>
          <t>หน้ามาตราและหน้าอภิธานศัพท์ยังไม่แสดงวันที่ 'ปรับปรุงล่าสุด' (บทความ คู่มือ แบบหนังสือมี) ป้ายฉบับร่างมี</t>
        </is>
      </c>
    </row>
    <row r="85" ht="65">
      <c r="A85" s="4" t="n">
        <v>81</v>
      </c>
      <c r="B85" s="5" t="inlineStr">
        <is>
          <t>FR-GUIDE-001</t>
        </is>
      </c>
      <c r="C85" s="4" t="inlineStr">
        <is>
          <t>M5</t>
        </is>
      </c>
      <c r="D85" s="5" t="inlineStr">
        <is>
          <t>คู่มือขั้นตอน</t>
        </is>
      </c>
      <c r="E85" s="5" t="inlineStr">
        <is>
          <t>แคตตาล็อกคู่มือ</t>
        </is>
      </c>
      <c r="F85" s="5" t="inlineStr">
        <is>
          <t>คู่มือขั้นตอนเปิดได้จากลิงก์อ้างอิงในคำตอบแชท การ์ด "ขั้นตอนถัดไป" ลิงก์ในบทความ/คู่มืออื่น และรายการ "ที่บันทึกไว้" ไปที่ /guides/&lt;slug&gt; — ไม่มีเมนูคู่มือใน sidebar ไม่มีลิงก์ในหน้า /library ไม่มีแท็บในหน้าหมวด และไม่อยู่ในตัวกรองชนิดของหน้าค้นหา (หน้า /guides ยังเปิดได้ด้วย URL แต่ไม่มีลิงก์ไป)</t>
        </is>
      </c>
      <c r="G85" s="5" t="inlineStr">
        <is>
          <t>all</t>
        </is>
      </c>
      <c r="H85" s="5" t="inlineStr">
        <is>
          <t>Must (ต้องมี)</t>
        </is>
      </c>
      <c r="I85" s="4" t="inlineStr">
        <is>
          <t>P1</t>
        </is>
      </c>
      <c r="J85" s="5" t="inlineStr">
        <is>
          <t>AC1: ลิงก์ไปคู่มือเปิดหน้า /guides/&lt;slug&gt;
AC2: เมนูหลักมีเฉพาะ ถามกฎหมาย, คลังความรู้, แบบหนังสือ, ที่บันทึกไว้ (+ หลังบ้านสำหรับทีมงาน)</t>
        </is>
      </c>
      <c r="K85" s="4" t="n">
        <v>2</v>
      </c>
      <c r="L85" s="13" t="inlineStr">
        <is>
          <t>เสร็จแล้ว</t>
        </is>
      </c>
      <c r="M85" s="14" t="n"/>
      <c r="N85" s="14" t="n"/>
      <c r="O85" s="14" t="n"/>
    </row>
    <row r="86" ht="40">
      <c r="A86" s="4" t="n">
        <v>82</v>
      </c>
      <c r="B86" s="5" t="inlineStr">
        <is>
          <t>FR-GUIDE-002</t>
        </is>
      </c>
      <c r="C86" s="4" t="inlineStr">
        <is>
          <t>M5</t>
        </is>
      </c>
      <c r="D86" s="5" t="inlineStr">
        <is>
          <t>คู่มือขั้นตอน</t>
        </is>
      </c>
      <c r="E86" s="5" t="inlineStr">
        <is>
          <t>โครงสร้างคู่มือ</t>
        </is>
      </c>
      <c r="F86" s="5" t="inlineStr">
        <is>
          <t>คู่มือต้องแสดงตามโครงของเนื้อหา: ภาพรวม · ใครใช้ · เอกสาร (checklist) · ขั้นตอน · ระยะเวลา · ข้อควรระวัง · ฐานกฎหมาย (citation)</t>
        </is>
      </c>
      <c r="G86" s="5" t="inlineStr">
        <is>
          <t>all</t>
        </is>
      </c>
      <c r="H86" s="5" t="inlineStr">
        <is>
          <t>Must (ต้องมี)</t>
        </is>
      </c>
      <c r="I86" s="4" t="inlineStr">
        <is>
          <t>P1</t>
        </is>
      </c>
      <c r="J86" s="5" t="inlineStr">
        <is>
          <t>AC1: stepper บนมือถือแสดงเป็นแนวตั้ง
AC2: ส่วน "ฐานกฎหมาย" แสดงเป็นลิงก์ไปมาตราในคลัง</t>
        </is>
      </c>
      <c r="K86" s="4" t="n">
        <v>2</v>
      </c>
      <c r="L86" s="13" t="inlineStr">
        <is>
          <t>เสร็จแล้ว</t>
        </is>
      </c>
      <c r="M86" s="14" t="n"/>
      <c r="N86" s="14" t="n"/>
      <c r="O86" s="14" t="n"/>
    </row>
    <row r="87" ht="40">
      <c r="A87" s="4" t="n">
        <v>83</v>
      </c>
      <c r="B87" s="5" t="inlineStr">
        <is>
          <t>FR-GUIDE-003</t>
        </is>
      </c>
      <c r="C87" s="4" t="inlineStr">
        <is>
          <t>M5</t>
        </is>
      </c>
      <c r="D87" s="5" t="inlineStr">
        <is>
          <t>คู่มือขั้นตอน</t>
        </is>
      </c>
      <c r="E87" s="5" t="inlineStr">
        <is>
          <t>Checklist และความก้าวหน้า</t>
        </is>
      </c>
      <c r="F87" s="5" t="inlineStr">
        <is>
          <t>ระบบต้องให้ติ๊ก checklist เอกสารและขั้นตอน; member บันทึกลง app.guide_progress (ใช้ต่อได้ทุกอุปกรณ์), guest เก็บ localStorage; แถบ "ทำแล้ว x จาก y"; มีปุ่ม "เริ่มใหม่" และ "ทำเสร็จแล้ว"</t>
        </is>
      </c>
      <c r="G87" s="5" t="inlineStr">
        <is>
          <t>all</t>
        </is>
      </c>
      <c r="H87" s="5" t="inlineStr">
        <is>
          <t>Must (ต้องมี)</t>
        </is>
      </c>
      <c r="I87" s="4" t="inlineStr">
        <is>
          <t>P1</t>
        </is>
      </c>
      <c r="J87" s="5" t="inlineStr">
        <is>
          <t>AC1: Given ติ๊กแล้ว reload Then สถานะยังอยู่</t>
        </is>
      </c>
      <c r="K87" s="4" t="n">
        <v>1</v>
      </c>
      <c r="L87" s="13" t="inlineStr">
        <is>
          <t>เสร็จแล้ว</t>
        </is>
      </c>
      <c r="M87" s="14" t="n"/>
      <c r="N87" s="14" t="n"/>
      <c r="O87" s="14" t="n"/>
    </row>
    <row r="88" ht="27.5">
      <c r="A88" s="4" t="n">
        <v>84</v>
      </c>
      <c r="B88" s="5" t="inlineStr">
        <is>
          <t>FR-GUIDE-005</t>
        </is>
      </c>
      <c r="C88" s="4" t="inlineStr">
        <is>
          <t>M5</t>
        </is>
      </c>
      <c r="D88" s="5" t="inlineStr">
        <is>
          <t>คู่มือขั้นตอน</t>
        </is>
      </c>
      <c r="E88" s="5" t="inlineStr">
        <is>
          <t>ลิงก์เนื้อหาที่เกี่ยวข้อง</t>
        </is>
      </c>
      <c r="F88" s="5" t="inlineStr">
        <is>
          <t>ระบบต้องแสดงลิงก์ไปแบบหนังสือ (M6), คู่มือ/บทความอื่น และมาตราที่เกี่ยวข้องในเนื้อหาของคู่มือ</t>
        </is>
      </c>
      <c r="G88" s="5" t="inlineStr">
        <is>
          <t>all</t>
        </is>
      </c>
      <c r="H88" s="5" t="inlineStr">
        <is>
          <t>Should (ควรมี)</t>
        </is>
      </c>
      <c r="I88" s="4" t="inlineStr">
        <is>
          <t>P1</t>
        </is>
      </c>
      <c r="J88" s="5" t="inlineStr">
        <is>
          <t>AC1: ลิงก์ไปเนื้อหาที่ถูก archive ถูกซ่อนอัตโนมัติ</t>
        </is>
      </c>
      <c r="K88" s="4" t="n">
        <v>1</v>
      </c>
      <c r="L88" s="13" t="inlineStr">
        <is>
          <t>เสร็จแล้ว</t>
        </is>
      </c>
      <c r="M88" s="14" t="n"/>
      <c r="N88" s="14" t="n"/>
      <c r="O88" s="14" t="n"/>
    </row>
    <row r="89" ht="27.5">
      <c r="A89" s="4" t="n">
        <v>85</v>
      </c>
      <c r="B89" s="5" t="inlineStr">
        <is>
          <t>FR-GUIDE-006</t>
        </is>
      </c>
      <c r="C89" s="4" t="inlineStr">
        <is>
          <t>M5</t>
        </is>
      </c>
      <c r="D89" s="5" t="inlineStr">
        <is>
          <t>คู่มือขั้นตอน</t>
        </is>
      </c>
      <c r="E89" s="5" t="inlineStr">
        <is>
          <t>พิมพ์/ดาวน์โหลดคู่มือ</t>
        </is>
      </c>
      <c r="F89" s="5" t="inlineStr">
        <is>
          <t>ระบบต้องมี print stylesheet และปุ่ม "พิมพ์ / บันทึก PDF" ที่รวม checklist ให้ติ๊กบนกระดาษได้</t>
        </is>
      </c>
      <c r="G89" s="5" t="inlineStr">
        <is>
          <t>all</t>
        </is>
      </c>
      <c r="H89" s="5" t="inlineStr">
        <is>
          <t>Should (ควรมี)</t>
        </is>
      </c>
      <c r="I89" s="4" t="inlineStr">
        <is>
          <t>P1</t>
        </is>
      </c>
      <c r="J89" s="5" t="inlineStr">
        <is>
          <t>AC1: หน้าพิมพ์ไม่มี sidebar/header/footer และมี URL + วันที่พิมพ์ท้ายหน้า</t>
        </is>
      </c>
      <c r="K89" s="4" t="n">
        <v>1</v>
      </c>
      <c r="L89" s="13" t="inlineStr">
        <is>
          <t>เสร็จแล้ว</t>
        </is>
      </c>
      <c r="M89" s="14" t="n"/>
      <c r="N89" s="14" t="n"/>
      <c r="O89" s="14" t="n"/>
    </row>
    <row r="90" ht="40">
      <c r="A90" s="4" t="n">
        <v>86</v>
      </c>
      <c r="B90" s="5" t="inlineStr">
        <is>
          <t>FR-GUIDE-007</t>
        </is>
      </c>
      <c r="C90" s="4" t="inlineStr">
        <is>
          <t>M5</t>
        </is>
      </c>
      <c r="D90" s="5" t="inlineStr">
        <is>
          <t>คู่มือขั้นตอน</t>
        </is>
      </c>
      <c r="E90" s="5" t="inlineStr">
        <is>
          <t>คู่มือในการค้นหาของแชท</t>
        </is>
      </c>
      <c r="F90" s="5" t="inlineStr">
        <is>
          <t>เครื่องค้นของแชท (FR-AI-001) ค้นเนื้อหาคู่มือรวมกับเนื้อหาอื่นเพื่อใช้ตอบและเสนอ "ขั้นตอนถัดไป"; หน้าค้นหาในคลังความรู้ไม่มีกลุ่มผลลัพธ์ "คู่มือ"</t>
        </is>
      </c>
      <c r="G90" s="5" t="inlineStr">
        <is>
          <t>all</t>
        </is>
      </c>
      <c r="H90" s="5" t="inlineStr">
        <is>
          <t>Should (ควรมี)</t>
        </is>
      </c>
      <c r="I90" s="4" t="inlineStr">
        <is>
          <t>P1</t>
        </is>
      </c>
      <c r="J90" s="5" t="inlineStr">
        <is>
          <t>AC1: Given คำถามที่ตรงกับคู่มือ Then การ์ด "ขั้นตอนถัดไป" ใต้คำตอบมีลิงก์ไปคู่มือนั้น</t>
        </is>
      </c>
      <c r="K90" s="4" t="n">
        <v>1</v>
      </c>
      <c r="L90" s="13" t="inlineStr">
        <is>
          <t>เสร็จแล้ว</t>
        </is>
      </c>
      <c r="M90" s="14" t="n"/>
      <c r="N90" s="14" t="n"/>
      <c r="O90" s="14" t="n"/>
    </row>
    <row r="91" ht="27.5">
      <c r="A91" s="4" t="n">
        <v>87</v>
      </c>
      <c r="B91" s="5" t="inlineStr">
        <is>
          <t>FR-GUIDE-008</t>
        </is>
      </c>
      <c r="C91" s="4" t="inlineStr">
        <is>
          <t>M5</t>
        </is>
      </c>
      <c r="D91" s="5" t="inlineStr">
        <is>
          <t>คู่มือขั้นตอน</t>
        </is>
      </c>
      <c r="E91" s="5" t="inlineStr">
        <is>
          <t>ถามนิติมิตรจากคู่มือ</t>
        </is>
      </c>
      <c r="F91" s="5" t="inlineStr">
        <is>
          <t>ระบบต้องมีลิงก์ถามต่อในคู่มือและในแต่ละขั้นตอนที่เติมคำถามในหน้าแชท (/chat?q=)</t>
        </is>
      </c>
      <c r="G91" s="5" t="inlineStr">
        <is>
          <t>all</t>
        </is>
      </c>
      <c r="H91" s="5" t="inlineStr">
        <is>
          <t>Should (ควรมี)</t>
        </is>
      </c>
      <c r="I91" s="4" t="inlineStr">
        <is>
          <t>P1</t>
        </is>
      </c>
      <c r="J91" s="5" t="inlineStr">
        <is>
          <t>AC1: Given กด "ถามนิติมิตร" ที่ขั้นตอนที่ 3 Then ช่องพิมพ์ในหน้าแชทมีคำถามเกี่ยวกับขั้นตอนนั้น (ยังไม่ส่ง)</t>
        </is>
      </c>
      <c r="K91" s="4" t="n">
        <v>1</v>
      </c>
      <c r="L91" s="13" t="inlineStr">
        <is>
          <t>เสร็จแล้ว</t>
        </is>
      </c>
      <c r="M91" s="14" t="n"/>
      <c r="N91" s="14" t="n"/>
      <c r="O91" s="14" t="n"/>
    </row>
    <row r="92" ht="52.5">
      <c r="A92" s="4" t="n">
        <v>88</v>
      </c>
      <c r="B92" s="5" t="inlineStr">
        <is>
          <t>FR-TPL-001</t>
        </is>
      </c>
      <c r="C92" s="4" t="inlineStr">
        <is>
          <t>M6</t>
        </is>
      </c>
      <c r="D92" s="5" t="inlineStr">
        <is>
          <t>แบบหนังสือ</t>
        </is>
      </c>
      <c r="E92" s="5" t="inlineStr">
        <is>
          <t>แคตตาล็อกแบบหนังสือ</t>
        </is>
      </c>
      <c r="F92" s="5" t="inlineStr">
        <is>
          <t>ระบบต้องแสดง /templates: รายการแบบหนังสือเกี่ยวกับสัญญา 5 แบบ (บอกกล่าวให้แก้ไข, บอกเลิกสัญญา, สงวนสิทธิ, โต้แย้งการหักค่าปรับ, แจ้งความชำรุดบกพร่อง) พร้อมคำอธิบาย "ใช้เมื่อไร", ปุ่มดาวน์โหลดแบบเปล่า (DOCX/PDF) และปุ่มกรอกผ่าน wizard</t>
        </is>
      </c>
      <c r="G92" s="5" t="inlineStr">
        <is>
          <t>all</t>
        </is>
      </c>
      <c r="H92" s="5" t="inlineStr">
        <is>
          <t>Must (ต้องมี)</t>
        </is>
      </c>
      <c r="I92" s="4" t="inlineStr">
        <is>
          <t>P1</t>
        </is>
      </c>
      <c r="J92" s="5" t="inlineStr">
        <is>
          <t>AC1: มีแบบหนังสืออย่างน้อย 5 แบบ ดาวน์โหลดได้ทั้ง DOCX และ PDF
AC2: ทุกแบบแสดง disclaimer ตาม FR-TPL-008 ก่อนดาวน์โหลด</t>
        </is>
      </c>
      <c r="K92" s="4" t="n">
        <v>2</v>
      </c>
      <c r="L92" s="13" t="inlineStr">
        <is>
          <t>เสร็จแล้ว</t>
        </is>
      </c>
      <c r="M92" s="14" t="n"/>
      <c r="N92" s="14" t="n"/>
      <c r="O92" s="14" t="n"/>
    </row>
    <row r="93" ht="40">
      <c r="A93" s="4" t="n">
        <v>89</v>
      </c>
      <c r="B93" s="5" t="inlineStr">
        <is>
          <t>FR-TPL-002</t>
        </is>
      </c>
      <c r="C93" s="4" t="inlineStr">
        <is>
          <t>M6</t>
        </is>
      </c>
      <c r="D93" s="5" t="inlineStr">
        <is>
          <t>แบบหนังสือ</t>
        </is>
      </c>
      <c r="E93" s="5" t="inlineStr">
        <is>
          <t>Guided Wizard</t>
        </is>
      </c>
      <c r="F93" s="5" t="inlineStr">
        <is>
          <t>ระบบต้องมี wizard กรอกแบบหนังสือทีละขั้น (≤ 5 ช่องต่อหน้า), แถบความก้าวหน้า, ย้อนกลับได้; ช่องอ่านจากตัวหนังสือของแบบ และประโยคที่มีเครื่องหมาย [ถ้ามี: …] จะถูกตัดทิ้งเมื่อช่องว่าง</t>
        </is>
      </c>
      <c r="G93" s="5" t="inlineStr">
        <is>
          <t>all</t>
        </is>
      </c>
      <c r="H93" s="5" t="inlineStr">
        <is>
          <t>Must (ต้องมี)</t>
        </is>
      </c>
      <c r="I93" s="4" t="inlineStr">
        <is>
          <t>P1</t>
        </is>
      </c>
      <c r="J93" s="5" t="inlineStr">
        <is>
          <t>AC1: ใช้งานด้วยคีย์บอร์ดได้ครบ, error message ผูกกับฟิลด์ (aria-describedby)</t>
        </is>
      </c>
      <c r="K93" s="4" t="n">
        <v>1</v>
      </c>
      <c r="L93" s="13" t="inlineStr">
        <is>
          <t>เสร็จแล้ว</t>
        </is>
      </c>
      <c r="M93" s="14" t="n"/>
      <c r="N93" s="14" t="n"/>
      <c r="O93" s="14" t="n"/>
    </row>
    <row r="94" ht="27.5">
      <c r="A94" s="4" t="n">
        <v>90</v>
      </c>
      <c r="B94" s="5" t="inlineStr">
        <is>
          <t>FR-TPL-003</t>
        </is>
      </c>
      <c r="C94" s="4" t="inlineStr">
        <is>
          <t>M6</t>
        </is>
      </c>
      <c r="D94" s="5" t="inlineStr">
        <is>
          <t>แบบหนังสือ</t>
        </is>
      </c>
      <c r="E94" s="5" t="inlineStr">
        <is>
          <t>คำอธิบายรายช่อง</t>
        </is>
      </c>
      <c r="F94" s="5" t="inlineStr">
        <is>
          <t>ช่องที่มีคำอธิบายในแบบต้องมีไอคอน (i) เปิดคำอธิบายพร้อมลิงก์มาตรา (เปิดด้วยคีย์บอร์ดได้)</t>
        </is>
      </c>
      <c r="G94" s="5" t="inlineStr">
        <is>
          <t>all</t>
        </is>
      </c>
      <c r="H94" s="5" t="inlineStr">
        <is>
          <t>Must (ต้องมี)</t>
        </is>
      </c>
      <c r="I94" s="4" t="inlineStr">
        <is>
          <t>P1</t>
        </is>
      </c>
      <c r="J94" s="5" t="inlineStr">
        <is>
          <t>AC1: ไอคอน (i) ข้างฟิลด์เปิดคำอธิบายแบบ popover ที่เข้าถึงด้วยคีย์บอร์ดได้</t>
        </is>
      </c>
      <c r="K94" s="4" t="n">
        <v>1</v>
      </c>
      <c r="L94" s="13" t="inlineStr">
        <is>
          <t>เสร็จแล้ว</t>
        </is>
      </c>
      <c r="M94" s="14" t="n"/>
      <c r="N94" s="14" t="n"/>
      <c r="O94" s="14" t="n"/>
    </row>
    <row r="95" ht="40">
      <c r="A95" s="4" t="n">
        <v>91</v>
      </c>
      <c r="B95" s="5" t="inlineStr">
        <is>
          <t>FR-TPL-004</t>
        </is>
      </c>
      <c r="C95" s="4" t="inlineStr">
        <is>
          <t>M6</t>
        </is>
      </c>
      <c r="D95" s="5" t="inlineStr">
        <is>
          <t>แบบหนังสือ</t>
        </is>
      </c>
      <c r="E95" s="5" t="inlineStr">
        <is>
          <t>เตือนช่องที่ยังไม่ได้กรอก</t>
        </is>
      </c>
      <c r="F95" s="5" t="inlineStr">
        <is>
          <t>ระบบต้องเตือนช่องที่ไม่ได้กรอก (ไม่บล็อกการสร้างไฟล์) และตรวจรูปแบบวันที่ผ่านช่องวันที่ของเบราว์เซอร์; ช่องที่ไม่ได้กรอกจะเป็น [ชื่อช่อง] ในไฟล์ให้กรอกเอง</t>
        </is>
      </c>
      <c r="G95" s="5" t="inlineStr">
        <is>
          <t>all</t>
        </is>
      </c>
      <c r="H95" s="5" t="inlineStr">
        <is>
          <t>Must (ต้องมี)</t>
        </is>
      </c>
      <c r="I95" s="4" t="inlineStr">
        <is>
          <t>P1</t>
        </is>
      </c>
      <c r="J95" s="5" t="inlineStr">
        <is>
          <t>AC1: Given ยังมีช่องว่าง Then หน้า "ตรวจทาน" แสดงคำเตือนแต่ยังดาวน์โหลดได้</t>
        </is>
      </c>
      <c r="K95" s="4" t="n">
        <v>1</v>
      </c>
      <c r="L95" s="13" t="inlineStr">
        <is>
          <t>เสร็จแล้ว</t>
        </is>
      </c>
      <c r="M95" s="14" t="n"/>
      <c r="N95" s="14" t="n"/>
      <c r="O95" s="14" t="n"/>
    </row>
    <row r="96" ht="27.5">
      <c r="A96" s="4" t="n">
        <v>92</v>
      </c>
      <c r="B96" s="5" t="inlineStr">
        <is>
          <t>FR-TPL-005</t>
        </is>
      </c>
      <c r="C96" s="4" t="inlineStr">
        <is>
          <t>M6</t>
        </is>
      </c>
      <c r="D96" s="5" t="inlineStr">
        <is>
          <t>แบบหนังสือ</t>
        </is>
      </c>
      <c r="E96" s="5" t="inlineStr">
        <is>
          <t>ตัวอย่างก่อนสร้าง (Preview)</t>
        </is>
      </c>
      <c r="F96" s="5" t="inlineStr">
        <is>
          <t>ระบบต้องแสดง preview หนังสือพร้อมไฮไลต์ส่วนที่มาจากคำตอบของผู้ใช้ และให้กดส่วนนั้นเพื่อกลับไปแก้ช่อง</t>
        </is>
      </c>
      <c r="G96" s="5" t="inlineStr">
        <is>
          <t>all</t>
        </is>
      </c>
      <c r="H96" s="5" t="inlineStr">
        <is>
          <t>Must (ต้องมี)</t>
        </is>
      </c>
      <c r="I96" s="4" t="inlineStr">
        <is>
          <t>P1</t>
        </is>
      </c>
      <c r="J96" s="5" t="inlineStr">
        <is>
          <t>AC1: คลิกข้อความที่ highlight Then กลับไปยังฟิลด์นั้นใน wizard</t>
        </is>
      </c>
      <c r="K96" s="4" t="n">
        <v>1</v>
      </c>
      <c r="L96" s="13" t="inlineStr">
        <is>
          <t>เสร็จแล้ว</t>
        </is>
      </c>
      <c r="M96" s="14" t="n"/>
      <c r="N96" s="14" t="n"/>
      <c r="O96" s="14" t="n"/>
    </row>
    <row r="97" ht="52.5">
      <c r="A97" s="4" t="n">
        <v>93</v>
      </c>
      <c r="B97" s="5" t="inlineStr">
        <is>
          <t>FR-TPL-006</t>
        </is>
      </c>
      <c r="C97" s="4" t="inlineStr">
        <is>
          <t>M6</t>
        </is>
      </c>
      <c r="D97" s="5" t="inlineStr">
        <is>
          <t>แบบหนังสือ</t>
        </is>
      </c>
      <c r="E97" s="5" t="inlineStr">
        <is>
          <t>สร้างไฟล์ DOCX/PDF</t>
        </is>
      </c>
      <c r="F97" s="5" t="inlineStr">
        <is>
          <t>ระบบต้องสร้าง DOCX และ PDF แบบ synchronous ใน AI service (ไม่ผ่านคิวงาน เพื่อไม่พักข้อมูลส่วนบุคคลในคิว) PDF ฝังฟอนต์ไทย + footer ทุกหน้า, DOCX ตั้งฟอนต์ TH Sarabun New; ไม่เก็บไฟล์ที่สร้างไว้ที่เซิร์ฟเวอร์; จำกัด 12 ไฟล์ต่อ 10 นาที</t>
        </is>
      </c>
      <c r="G97" s="5" t="inlineStr">
        <is>
          <t>all</t>
        </is>
      </c>
      <c r="H97" s="5" t="inlineStr">
        <is>
          <t>Must (ต้องมี)</t>
        </is>
      </c>
      <c r="I97" s="4" t="inlineStr">
        <is>
          <t>P1</t>
        </is>
      </c>
      <c r="J97" s="5" t="inlineStr">
        <is>
          <t>AC1: เวลาสร้าง p95 ≤ 10 วินาที
AC2: ข้อมูลที่กรอกไม่ถูกเก็บในฐานข้อมูลหรือ log</t>
        </is>
      </c>
      <c r="K97" s="4" t="n">
        <v>2</v>
      </c>
      <c r="L97" s="13" t="inlineStr">
        <is>
          <t>เสร็จแล้ว</t>
        </is>
      </c>
      <c r="M97" s="14" t="n"/>
      <c r="N97" s="14" t="n"/>
      <c r="O97" s="14" t="n"/>
    </row>
    <row r="98" ht="40">
      <c r="A98" s="4" t="n">
        <v>94</v>
      </c>
      <c r="B98" s="5" t="inlineStr">
        <is>
          <t>FR-TPL-007</t>
        </is>
      </c>
      <c r="C98" s="4" t="inlineStr">
        <is>
          <t>M6</t>
        </is>
      </c>
      <c r="D98" s="5" t="inlineStr">
        <is>
          <t>แบบหนังสือ</t>
        </is>
      </c>
      <c r="E98" s="5" t="inlineStr">
        <is>
          <t>ร่างเก็บในเบราว์เซอร์</t>
        </is>
      </c>
      <c r="F98" s="5" t="inlineStr">
        <is>
          <t>ข้อมูลที่กรอกใน wizard ต้องถูกจำไว้ในเบราว์เซอร์นี้เท่านั้น (ไม่ส่งไปเก็บที่เซิร์ฟเวอร์) และมีปุ่ม "ล้างข้อมูลที่กรอก"</t>
        </is>
      </c>
      <c r="G98" s="5" t="inlineStr">
        <is>
          <t>all</t>
        </is>
      </c>
      <c r="H98" s="5" t="inlineStr">
        <is>
          <t>Should (ควรมี)</t>
        </is>
      </c>
      <c r="I98" s="4" t="inlineStr">
        <is>
          <t>P1</t>
        </is>
      </c>
      <c r="J98" s="5" t="inlineStr">
        <is>
          <t>AC1: Given ปิดหน้าไประหว่างทำ Then เปิดกลับมาในเบราว์เซอร์เดิมแล้วข้อมูลยังอยู่
AC2: Given กด "ล้างข้อมูลที่กรอก" Then ข้อมูลที่จำไว้ถูกลบ</t>
        </is>
      </c>
      <c r="K98" s="4" t="n">
        <v>2</v>
      </c>
      <c r="L98" s="13" t="inlineStr">
        <is>
          <t>เสร็จแล้ว</t>
        </is>
      </c>
      <c r="M98" s="14" t="n"/>
      <c r="N98" s="14" t="n"/>
      <c r="O98" s="14" t="n"/>
    </row>
    <row r="99" ht="40">
      <c r="A99" s="4" t="n">
        <v>95</v>
      </c>
      <c r="B99" s="5" t="inlineStr">
        <is>
          <t>FR-TPL-008</t>
        </is>
      </c>
      <c r="C99" s="4" t="inlineStr">
        <is>
          <t>M6</t>
        </is>
      </c>
      <c r="D99" s="5" t="inlineStr">
        <is>
          <t>แบบหนังสือ</t>
        </is>
      </c>
      <c r="E99" s="5" t="inlineStr">
        <is>
          <t>Disclaimer ในเอกสาร</t>
        </is>
      </c>
      <c r="F99" s="5" t="inlineStr">
        <is>
          <t>ทุกเอกสารที่สร้างต้องมีข้อความ "แบบตัวอย่างเพื่อการศึกษา ควรให้ผู้เชี่ยวชาญตรวจก่อนใช้กับธุรกรรมมูลค่าสูง" ในหน้าจอก่อนดาวน์โหลด และในส่วนท้ายของไฟล์ (DOCX footer / PDF ทุกหน้า)</t>
        </is>
      </c>
      <c r="G99" s="5" t="inlineStr">
        <is>
          <t>all</t>
        </is>
      </c>
      <c r="H99" s="5" t="inlineStr">
        <is>
          <t>Must (ต้องมี)</t>
        </is>
      </c>
      <c r="I99" s="4" t="inlineStr">
        <is>
          <t>P1</t>
        </is>
      </c>
      <c r="J99" s="5" t="inlineStr">
        <is>
          <t>AC1: ผู้ใช้ต้องติ๊กรับทราบ disclaimer ก่อนดาวน์โหลด (จำต่อ session)</t>
        </is>
      </c>
      <c r="K99" s="4" t="n">
        <v>1</v>
      </c>
      <c r="L99" s="13" t="inlineStr">
        <is>
          <t>เสร็จแล้ว</t>
        </is>
      </c>
      <c r="M99" s="14" t="n"/>
      <c r="N99" s="14" t="n"/>
      <c r="O99" s="14" t="n"/>
    </row>
    <row r="100" ht="27.5">
      <c r="A100" s="4" t="n">
        <v>96</v>
      </c>
      <c r="B100" s="5" t="inlineStr">
        <is>
          <t>FR-TPL-009</t>
        </is>
      </c>
      <c r="C100" s="4" t="inlineStr">
        <is>
          <t>M6</t>
        </is>
      </c>
      <c r="D100" s="5" t="inlineStr">
        <is>
          <t>แบบหนังสือ</t>
        </is>
      </c>
      <c r="E100" s="5" t="inlineStr">
        <is>
          <t>ขอบเขต: ไม่ร่างคำคู่ความ</t>
        </is>
      </c>
      <c r="F100" s="5" t="inlineStr">
        <is>
          <t>ระบบต้องไม่มีแบบหนังสือที่สร้างคำฟ้อง คำให้การ คำร้องต่อศาล หรือคำแถลงการณ์แทนผู้ใช้; แบบที่มีมีเฉพาะหนังสือระหว่างคู่สัญญา</t>
        </is>
      </c>
      <c r="G100" s="5" t="inlineStr">
        <is>
          <t>all</t>
        </is>
      </c>
      <c r="H100" s="5" t="inlineStr">
        <is>
          <t>Must (ต้องมี)</t>
        </is>
      </c>
      <c r="I100" s="4" t="inlineStr">
        <is>
          <t>P1</t>
        </is>
      </c>
      <c r="J100" s="5" t="inlineStr">
        <is>
          <t>AC1: CMS แก้ได้เฉพาะแบบเดิม ไม่มีการสร้างแบบใหม่ และไม่มีชนิด pleading</t>
        </is>
      </c>
      <c r="K100" s="4" t="n">
        <v>1</v>
      </c>
      <c r="L100" s="13" t="inlineStr">
        <is>
          <t>เสร็จแล้ว</t>
        </is>
      </c>
      <c r="M100" s="14" t="n"/>
      <c r="N100" s="14" t="n"/>
      <c r="O100" s="14" t="n"/>
    </row>
    <row r="101" ht="165">
      <c r="A101" s="4" t="n">
        <v>97</v>
      </c>
      <c r="B101" s="5" t="inlineStr">
        <is>
          <t>FR-ADM-001</t>
        </is>
      </c>
      <c r="C101" s="4" t="inlineStr">
        <is>
          <t>M10</t>
        </is>
      </c>
      <c r="D101" s="5" t="inlineStr">
        <is>
          <t>ระบบหลังบ้าน</t>
        </is>
      </c>
      <c r="E101" s="5" t="inlineStr">
        <is>
          <t>เข้าถึง Back-office ตามสิทธิ์</t>
        </is>
      </c>
      <c r="F101" s="5" t="inlineStr">
        <is>
          <t>ระบบต้องแสดง /admin/&lt;section&gt; เฉพาะ editor/reviewer/admin โดยแต่ละแท็บแสดงตามสิทธิ์ (review: editor+reviewer+admin; content, laws: editor+admin; feedback, guardrails: reviewer+admin; users, audit, dsr, usage, announcement, orgs, system: admin)</t>
        </is>
      </c>
      <c r="G101" s="5" t="inlineStr">
        <is>
          <t>editor, reviewer, admin</t>
        </is>
      </c>
      <c r="H101" s="5" t="inlineStr">
        <is>
          <t>Must (ต้องมี)</t>
        </is>
      </c>
      <c r="I101" s="4" t="inlineStr">
        <is>
          <t>P1</t>
        </is>
      </c>
      <c r="J101" s="5" t="inlineStr">
        <is>
          <t>AC1: Given editor เปิด /admin/users Then HTTP 403 + audit log (implement: หน้าจอตอบ 404 เพื่อไม่เปิดเผยว่ามีหน้านี้ + audit; API ตอบ 403 + audit)
AC2: การเข้า admin ต้องผ่านการยืนยันตัวตนสองชั้น (TOTP) — NFR-SEC-006 (ระบบทดสอบที่ APP_ENV=dev ไม่บังคับ 2FA; หน้า "ผู้ใช้" เตือน "ยังไม่เปิด 2FA — เข้าหลังบ้านไม่ได้เมื่อระบบบังคับ" ใต้ชื่อทีมงานที่ยังไม่เปิด) - หมายเหตุ (สิ่งที่เห็นบนหน้าจอ): เมนู "หลังบ้าน" ในแถบซ้ายต่อท้าย "ที่บันทึกไว้" และเห็นเฉพาะทีมงาน; แถบแท็บบนหน้า /admin/* — editor: "ภาพรวม | งานตรวจเนื้อหา | แก้ไขเนื้อหา | นำเข้าตัวบท"; reviewer: "ภาพรวม | งานตรวจเนื้อหา | คิว feedback | Guardrail"; admin: "ภาพรวม | งานตรวจเนื้อหา | แก้ไขเนื้อหา | นำเข้าตัวบท | คิว feedback | Guardrail | ผู้ใช้ | Audit log | คำขอใช้สิทธิ | การใช้งาน | ประกาศระบบ | องค์กร | ระบบ"; สมาชิกทั่วไปที่เปิด /admin ได้หน้า 404</t>
        </is>
      </c>
      <c r="K101" s="4" t="n">
        <v>2</v>
      </c>
      <c r="L101" s="13" t="inlineStr">
        <is>
          <t>เสร็จแล้ว</t>
        </is>
      </c>
      <c r="M101" s="14" t="n"/>
      <c r="N101" s="14" t="n"/>
      <c r="O101" s="14" t="n"/>
    </row>
    <row r="102" ht="65">
      <c r="A102" s="4" t="n">
        <v>98</v>
      </c>
      <c r="B102" s="5" t="inlineStr">
        <is>
          <t>FR-ADM-002</t>
        </is>
      </c>
      <c r="C102" s="4" t="inlineStr">
        <is>
          <t>M10</t>
        </is>
      </c>
      <c r="D102" s="5" t="inlineStr">
        <is>
          <t>ระบบหลังบ้าน</t>
        </is>
      </c>
      <c r="E102" s="5" t="inlineStr">
        <is>
          <t>จัดการเนื้อหา (CRUD) ด้วย Markdown Editor</t>
        </is>
      </c>
      <c r="F102" s="5" t="inlineStr">
        <is>
          <t>ระบบต้องให้แก้เนื้อหา 4 ชนิด (บทความ, คู่มือ, แบบหนังสือ, คำศัพท์) ด้วย Markdown editor แบบ split preview (แก้ได้เฉพาะฉบับร่าง; ฉบับที่เผยแพร่แล้วเปลี่ยนโดยสร้างฉบับแก้ไขใหม่) และแทรก citation จากช่องค้นหามาตรา (autocomplete) — เนื้อหาใหม่จากไฟล์ใน docs/knowledge-base/ นำเข้าด้วย seed-kb (FR-ADM-021)</t>
        </is>
      </c>
      <c r="G102" s="5" t="inlineStr">
        <is>
          <t>editor, admin</t>
        </is>
      </c>
      <c r="H102" s="5" t="inlineStr">
        <is>
          <t>Must (ต้องมี)</t>
        </is>
      </c>
      <c r="I102" s="4" t="inlineStr">
        <is>
          <t>P1</t>
        </is>
      </c>
      <c r="J102" s="5" t="inlineStr">
        <is>
          <t>AC1: Given พิมพ์ "ปพพ 383" ในช่องอ้างอิง Then แทรก citation token [[law:ccc:383]] ที่ผูกกับ kb.law_sections
AC2: autosave draft ทุก 10 วินาที; ป้องกันการแก้ชนกัน (optimistic lock ด้วย version number)</t>
        </is>
      </c>
      <c r="K102" s="4" t="n">
        <v>2</v>
      </c>
      <c r="L102" s="13" t="inlineStr">
        <is>
          <t>กำลังทำ</t>
        </is>
      </c>
      <c r="M102" s="14" t="n"/>
      <c r="N102" s="14" t="n"/>
      <c r="O102" s="14" t="inlineStr">
        <is>
          <t>คำศัพท์ที่เผยแพร่แล้วแก้ผ่านหลังบ้านไม่ได้ เพราะคำศัพท์ไม่มีระบบเวอร์ชันและสร้างฉบับแก้ไขใหม่ไม่ได้</t>
        </is>
      </c>
    </row>
    <row r="103" ht="40">
      <c r="A103" s="4" t="n">
        <v>99</v>
      </c>
      <c r="B103" s="5" t="inlineStr">
        <is>
          <t>FR-ADM-003</t>
        </is>
      </c>
      <c r="C103" s="4" t="inlineStr">
        <is>
          <t>M10</t>
        </is>
      </c>
      <c r="D103" s="5" t="inlineStr">
        <is>
          <t>ระบบหลังบ้าน</t>
        </is>
      </c>
      <c r="E103" s="5" t="inlineStr">
        <is>
          <t>เวอร์ชันและ Diff</t>
        </is>
      </c>
      <c r="F103" s="5" t="inlineStr">
        <is>
          <t>ระบบต้องเก็บทุกการบันทึกที่ส่ง review เป็นเวอร์ชัน (immutable) และแสดง diff ระหว่างเวอร์ชัน (ข้อความ + metadata)</t>
        </is>
      </c>
      <c r="G103" s="5" t="inlineStr">
        <is>
          <t>editor, reviewer, admin</t>
        </is>
      </c>
      <c r="H103" s="5" t="inlineStr">
        <is>
          <t>Must (ต้องมี)</t>
        </is>
      </c>
      <c r="I103" s="4" t="inlineStr">
        <is>
          <t>P1</t>
        </is>
      </c>
      <c r="J103" s="5" t="inlineStr">
        <is>
          <t>AC1: reviewer เห็น diff ระหว่างเวอร์ชันที่ส่งตรวจกับเวอร์ชัน published ล่าสุด
AC2: กู้คืน (restore) เวอร์ชันเก่าเป็น draft ใหม่ได้</t>
        </is>
      </c>
      <c r="K103" s="4" t="n">
        <v>2</v>
      </c>
      <c r="L103" s="13" t="inlineStr">
        <is>
          <t>กำลังทำ</t>
        </is>
      </c>
      <c r="M103" s="14" t="n"/>
      <c r="N103" s="14" t="n"/>
      <c r="O103" s="14" t="inlineStr">
        <is>
          <t>ผู้ตรวจไม่เห็น diff เทียบฉบับที่เผยแพร่ล่าสุด (diff อยู่เฉพาะหน้าแก้ไขของ editor) และ diff เทียบเฉพาะเนื้อหา ไม่รวมชื่อเรื่อง</t>
        </is>
      </c>
    </row>
    <row r="104" ht="65">
      <c r="A104" s="4" t="n">
        <v>100</v>
      </c>
      <c r="B104" s="5" t="inlineStr">
        <is>
          <t>FR-ADM-004</t>
        </is>
      </c>
      <c r="C104" s="4" t="inlineStr">
        <is>
          <t>M10</t>
        </is>
      </c>
      <c r="D104" s="5" t="inlineStr">
        <is>
          <t>ระบบหลังบ้าน</t>
        </is>
      </c>
      <c r="E104" s="5" t="inlineStr">
        <is>
          <t>Review Workflow</t>
        </is>
      </c>
      <c r="F104" s="5" t="inlineStr">
        <is>
          <t>ระบบต้องบังคับ lifecycle draft → in_review → published → archived ตาม BR-007 (การตีกลับ = review action requested_changes ใน kb.content_reviews แล้วสถานะกลับเป็น draft): reviewer ติ๊กรายการตรวจครบทุกข้อจึงอนุมัติได้ ตีกลับ/ไม่อนุมัติต้องเขียนความเห็น; บันทึกใน kb.content_reviews</t>
        </is>
      </c>
      <c r="G104" s="5" t="inlineStr">
        <is>
          <t>editor, reviewer</t>
        </is>
      </c>
      <c r="H104" s="5" t="inlineStr">
        <is>
          <t>Must (ต้องมี)</t>
        </is>
      </c>
      <c r="I104" s="4" t="inlineStr">
        <is>
          <t>P1</t>
        </is>
      </c>
      <c r="J104" s="5" t="inlineStr">
        <is>
          <t>AC1: Given ผู้อนุมัติเป็นคนเดียวกับผู้ส่งเข้าตรวจล่าสุด Then ระบบปฏิเสธการอนุมัติ (403)
AC2: Given อนุมัติ Then เนื้อหา published, reviewed_by/reviewed_at ถูกบันทึก และ job reindex ถูกสร้าง (FR-ADM-007)
AC3: ทุกขั้นบันทึกประวัติ (ผู้ทำ, ความเห็น, เวลา) และ audit log</t>
        </is>
      </c>
      <c r="K104" s="4" t="n">
        <v>3</v>
      </c>
      <c r="L104" s="13" t="inlineStr">
        <is>
          <t>เสร็จแล้ว</t>
        </is>
      </c>
      <c r="M104" s="14" t="n"/>
      <c r="N104" s="14" t="n"/>
      <c r="O104" s="14" t="n"/>
    </row>
    <row r="105" ht="52.5">
      <c r="A105" s="4" t="n">
        <v>101</v>
      </c>
      <c r="B105" s="5" t="inlineStr">
        <is>
          <t>FR-ADM-005</t>
        </is>
      </c>
      <c r="C105" s="4" t="inlineStr">
        <is>
          <t>M10</t>
        </is>
      </c>
      <c r="D105" s="5" t="inlineStr">
        <is>
          <t>ระบบหลังบ้าน</t>
        </is>
      </c>
      <c r="E105" s="5" t="inlineStr">
        <is>
          <t>ตรวจเบื้องต้นของร่างเนื้อหา (Pre-check)</t>
        </is>
      </c>
      <c r="F105" s="5" t="inlineStr">
        <is>
          <t>ขณะแก้และเมื่อส่ง review ระบบต้องรันการตรวจอัตโนมัติแบบ deterministic: (ก) การอ้างมาตราที่ไม่มีในคลัง (ข) ตัวเลขที่ไม่มีที่มา (ค) ถ้อยคำรับประกันผล — แสดงเป็นรายการคำเตือนให้ editor/reviewer; เป็นเพียงคำเตือน ไม่ใช่การรับรอง</t>
        </is>
      </c>
      <c r="G105" s="5" t="inlineStr">
        <is>
          <t>editor, reviewer</t>
        </is>
      </c>
      <c r="H105" s="5" t="inlineStr">
        <is>
          <t>Should (ควรมี)</t>
        </is>
      </c>
      <c r="I105" s="4" t="inlineStr">
        <is>
          <t>P1</t>
        </is>
      </c>
      <c r="J105" s="5" t="inlineStr">
        <is>
          <t>AC1: Given ร่างอ้างมาตราที่ไม่มีในคลัง Then pre-check แสดงคำเตือน
AC2: pre-check ไม่ publish อะไรเอง</t>
        </is>
      </c>
      <c r="K105" s="4" t="n">
        <v>2</v>
      </c>
      <c r="L105" s="13" t="inlineStr">
        <is>
          <t>กำลังทำ</t>
        </is>
      </c>
      <c r="M105" s="14" t="n"/>
      <c r="N105" s="14" t="n"/>
      <c r="O105" s="14" t="inlineStr">
        <is>
          <t>ผู้ตรวจยังไม่เห็นรายการเตือนตรวจเบื้องต้นในหน้างานตรวจเนื้อหา และการส่งตรวจไม่ได้รันหรือแสดงผลตรวจแยกต่างหาก</t>
        </is>
      </c>
    </row>
    <row r="106" ht="40">
      <c r="A106" s="4" t="n">
        <v>102</v>
      </c>
      <c r="B106" s="5" t="inlineStr">
        <is>
          <t>FR-ADM-007</t>
        </is>
      </c>
      <c r="C106" s="4" t="inlineStr">
        <is>
          <t>M10</t>
        </is>
      </c>
      <c r="D106" s="5" t="inlineStr">
        <is>
          <t>ระบบหลังบ้าน</t>
        </is>
      </c>
      <c r="E106" s="5" t="inlineStr">
        <is>
          <t>Reindex อัตโนมัติ</t>
        </is>
      </c>
      <c r="F106" s="5" t="inlineStr">
        <is>
          <t>เมื่อเนื้อหา/ตัวบทถูก publish, archive หรือเปลี่ยนเวอร์ชัน ระบบต้องสร้าง job (worker) chunk + embed + upsert kb.chunks และถอด chunk ของเวอร์ชันที่ไม่ใช้แล้วออกจากการค้นหา</t>
        </is>
      </c>
      <c r="G106" s="5" t="inlineStr">
        <is>
          <t>system</t>
        </is>
      </c>
      <c r="H106" s="5" t="inlineStr">
        <is>
          <t>Must (ต้องมี)</t>
        </is>
      </c>
      <c r="I106" s="4" t="inlineStr">
        <is>
          <t>P1</t>
        </is>
      </c>
      <c r="J106" s="5" t="inlineStr">
        <is>
          <t>AC1: เนื้อหาที่ publish ถูกค้นเจอในแชทภายใน 10 นาที
AC2: เนื้อหาที่ archive ไม่ถูก retrieve ภายใน 10 นาที</t>
        </is>
      </c>
      <c r="K106" s="4" t="n">
        <v>2</v>
      </c>
      <c r="L106" s="13" t="inlineStr">
        <is>
          <t>เสร็จแล้ว</t>
        </is>
      </c>
      <c r="M106" s="14" t="n"/>
      <c r="N106" s="14" t="n"/>
      <c r="O106" s="14" t="n"/>
    </row>
    <row r="107" ht="77.5">
      <c r="A107" s="4" t="n">
        <v>103</v>
      </c>
      <c r="B107" s="5" t="inlineStr">
        <is>
          <t>FR-ADM-008</t>
        </is>
      </c>
      <c r="C107" s="4" t="inlineStr">
        <is>
          <t>M10</t>
        </is>
      </c>
      <c r="D107" s="5" t="inlineStr">
        <is>
          <t>ระบบหลังบ้าน</t>
        </is>
      </c>
      <c r="E107" s="5" t="inlineStr">
        <is>
          <t>นำเข้าตัวบทกฎหมาย</t>
        </is>
      </c>
      <c r="F107" s="5" t="inlineStr">
        <is>
          <t>ระบบต้องให้อัปโหลดกฎหมาย (PDF ข้อความ, HTML, TXT) หรือวางข้อความ แล้ว parser แยกโครงสร้าง (บรรพ/ลักษณะ/หมวด/ส่วน/มาตรา, มาตรา "ทวิ/ตรี/…", "/1"), normalize เลขไทย, แสดงผลให้ตรวจแก้แบบตาราง (มาตรา | ข้อความ | สถานะ) ก่อนบันทึก พร้อม metadata (ชื่อ, ชื่อย่อ, ประเภท, วันประกาศราชกิจจานุเบกษา, วันมีผล, URL แหล่งทางการ, หมวด taxonomy)</t>
        </is>
      </c>
      <c r="G107" s="5" t="inlineStr">
        <is>
          <t>editor, admin</t>
        </is>
      </c>
      <c r="H107" s="5" t="inlineStr">
        <is>
          <t>Must (ต้องมี)</t>
        </is>
      </c>
      <c r="I107" s="4" t="inlineStr">
        <is>
          <t>P1</t>
        </is>
      </c>
      <c r="J107" s="5" t="inlineStr">
        <is>
          <t>AC1: parser แยกมาตราของ ป.พ.พ. จากไฟล์ทดสอบได้ถูกต้อง ≥ 99% (วัดจากจำนวนมาตราและเลขลำดับ)
AC2: ระบบแจ้งเตือนเลขมาตราที่ซ้ำ/ข้าม
AC3: ตารางตรวจแสดงคำเตือนและการเทียบกับฉบับเดิม; ผู้ตรวจต้องเทียบต้นฉบับทางการและใส่วันมีผลก่อนอนุมัติ</t>
        </is>
      </c>
      <c r="K107" s="4" t="n">
        <v>3</v>
      </c>
      <c r="L107" s="13" t="inlineStr">
        <is>
          <t>กำลังทำ</t>
        </is>
      </c>
      <c r="M107" s="14" t="n"/>
      <c r="N107" s="14" t="n"/>
      <c r="O107" s="14" t="inlineStr">
        <is>
          <t>นำเข้าได้เฉพาะกฎหมายที่มีอยู่แล้ว 3 ฉบับ ยังกรอกชื่อย่อ ประเภท วันประกาศ URL ทางการ และหมวดของกฎหมายใหม่ไม่ได้</t>
        </is>
      </c>
    </row>
    <row r="108" ht="52.5">
      <c r="A108" s="4" t="n">
        <v>104</v>
      </c>
      <c r="B108" s="5" t="inlineStr">
        <is>
          <t>FR-ADM-009</t>
        </is>
      </c>
      <c r="C108" s="4" t="inlineStr">
        <is>
          <t>M10</t>
        </is>
      </c>
      <c r="D108" s="5" t="inlineStr">
        <is>
          <t>ระบบหลังบ้าน</t>
        </is>
      </c>
      <c r="E108" s="5" t="inlineStr">
        <is>
          <t>ออกเวอร์ชันตัวบท (Amendment)</t>
        </is>
      </c>
      <c r="F108" s="5" t="inlineStr">
        <is>
          <t>ระบบต้องให้บันทึกการแก้ไขกฎหมาย: เลือกกฎหมายแก้ไข + วันมีผล + มาตราที่เพิ่ม/แก้/ยกเลิก → ระบบสร้าง kb.law_versions ใหม่ ปิด effective_to ของเวอร์ชันเดิม (ไม่ลบ) และติดธงบทความ/คู่มือที่อ้างมาตราเหล่านั้นให้ทบทวน</t>
        </is>
      </c>
      <c r="G108" s="5" t="inlineStr">
        <is>
          <t>editor (สร้าง), reviewer (อนุมัติ)</t>
        </is>
      </c>
      <c r="H108" s="5" t="inlineStr">
        <is>
          <t>Must (ต้องมี)</t>
        </is>
      </c>
      <c r="I108" s="4" t="inlineStr">
        <is>
          <t>P1</t>
        </is>
      </c>
      <c r="J108" s="5" t="inlineStr">
        <is>
          <t>AC1: Given ออกเวอร์ชันใหม่ที่แก้ ม.X Then เนื้อหาทุกชิ้นที่อ้าง ม.X ถูกตั้ง review_due_at = now และปรากฏในรายการทบทวน
AC2: ตัวบทเวอร์ชันใหม่ต้องผ่าน reviewer ก่อนใช้ใน RAG</t>
        </is>
      </c>
      <c r="K108" s="4" t="n">
        <v>2</v>
      </c>
      <c r="L108" s="13" t="inlineStr">
        <is>
          <t>กำลังทำ</t>
        </is>
      </c>
      <c r="M108" s="14" t="n"/>
      <c r="N108" s="14" t="n"/>
      <c r="O108" s="14" t="inlineStr">
        <is>
          <t>ยังไม่มีฟอร์มบันทึกการแก้ไขกฎหมายและรายการทบทวน ธง review_due_at ถูกตั้งแต่ไม่มีหน้าจอแสดงเนื้อหาที่ต้องทบทวน</t>
        </is>
      </c>
    </row>
    <row r="109" ht="77.5">
      <c r="A109" s="4" t="n">
        <v>105</v>
      </c>
      <c r="B109" s="5" t="inlineStr">
        <is>
          <t>FR-ADM-011</t>
        </is>
      </c>
      <c r="C109" s="4" t="inlineStr">
        <is>
          <t>M10</t>
        </is>
      </c>
      <c r="D109" s="5" t="inlineStr">
        <is>
          <t>ระบบหลังบ้าน</t>
        </is>
      </c>
      <c r="E109" s="5" t="inlineStr">
        <is>
          <t>Feedback Queue</t>
        </is>
      </c>
      <c r="F109" s="5" t="inlineStr">
        <is>
          <t>ระบบต้องแสดงคิว feedback 👎 กรองตามเหตุผล/สถานะ (enum app.review_state: open, triaged, resolved, wont_fix); reviewer เห็นบทสนทนา (เฉพาะที่ผู้ใช้อนุญาตและไม่ใช่แชทขององค์กร, PII ถูก mask) และ citations; บันทึกคำตอบที่ถูกต้อง, root cause (retrieval/content_gap/outdated/guardrail/other), และสถานะ</t>
        </is>
      </c>
      <c r="G109" s="5" t="inlineStr">
        <is>
          <t>reviewer, admin</t>
        </is>
      </c>
      <c r="H109" s="5" t="inlineStr">
        <is>
          <t>Must (ต้องมี)</t>
        </is>
      </c>
      <c r="I109" s="4" t="inlineStr">
        <is>
          <t>P1</t>
        </is>
      </c>
      <c r="J109" s="5" t="inlineStr">
        <is>
          <t>AC1: Given ผู้ใช้ไม่อนุญาตให้ดูบทสนทนา Then reviewer เห็นเฉพาะเหตุผลและ metadata</t>
        </is>
      </c>
      <c r="K109" s="4" t="n">
        <v>1</v>
      </c>
      <c r="L109" s="13" t="inlineStr">
        <is>
          <t>เสร็จแล้ว</t>
        </is>
      </c>
      <c r="M109" s="14" t="n"/>
      <c r="N109" s="14" t="n"/>
      <c r="O109" s="14" t="n"/>
    </row>
    <row r="110" ht="40">
      <c r="A110" s="4" t="n">
        <v>106</v>
      </c>
      <c r="B110" s="5" t="inlineStr">
        <is>
          <t>FR-ADM-015</t>
        </is>
      </c>
      <c r="C110" s="4" t="inlineStr">
        <is>
          <t>M10</t>
        </is>
      </c>
      <c r="D110" s="5" t="inlineStr">
        <is>
          <t>ระบบหลังบ้าน</t>
        </is>
      </c>
      <c r="E110" s="5" t="inlineStr">
        <is>
          <t>Guardrail Logs</t>
        </is>
      </c>
      <c r="F110" s="5" t="inlineStr">
        <is>
          <t>ระบบต้องแสดงรายการ guardrail events (เวลา, stage input/output, ชนิด, verdict, หมวด) พร้อมสถิติรายวัน และดูรายละเอียด (ข้อความที่ mask แล้วเท่านั้น) เพื่อตรวจ false positive</t>
        </is>
      </c>
      <c r="G110" s="5" t="inlineStr">
        <is>
          <t>admin, reviewer</t>
        </is>
      </c>
      <c r="H110" s="5" t="inlineStr">
        <is>
          <t>Should (ควรมี)</t>
        </is>
      </c>
      <c r="I110" s="4" t="inlineStr">
        <is>
          <t>P1</t>
        </is>
      </c>
      <c r="J110" s="5" t="inlineStr">
        <is>
          <t>AC1: reviewer ทำเครื่องหมาย false_positive ได้</t>
        </is>
      </c>
      <c r="K110" s="4" t="n">
        <v>1</v>
      </c>
      <c r="L110" s="13" t="inlineStr">
        <is>
          <t>กำลังทำ</t>
        </is>
      </c>
      <c r="M110" s="14" t="n"/>
      <c r="N110" s="14" t="n"/>
      <c r="O110" s="14" t="inlineStr">
        <is>
          <t>ไม่มีหน้ารายละเอียดข้อความที่ปกปิดแล้ว ผู้ตรวจเห็นเฉพาะชนิด ผล และเหตุผลสั้น จึงตรวจบล็อกผิดได้จำกัด</t>
        </is>
      </c>
    </row>
    <row r="111" ht="40">
      <c r="A111" s="4" t="n">
        <v>107</v>
      </c>
      <c r="B111" s="5" t="inlineStr">
        <is>
          <t>FR-ADM-016</t>
        </is>
      </c>
      <c r="C111" s="4" t="inlineStr">
        <is>
          <t>M10</t>
        </is>
      </c>
      <c r="D111" s="5" t="inlineStr">
        <is>
          <t>ระบบหลังบ้าน</t>
        </is>
      </c>
      <c r="E111" s="5" t="inlineStr">
        <is>
          <t>การใช้งานรายวัน</t>
        </is>
      </c>
      <c r="F111" s="5" t="inlineStr">
        <is>
          <t>ระบบต้องแสดงหน้า "การใช้งาน" (/admin/usage): จำนวนสมาชิก/ผู้ใช้ทดลอง/องค์กร/แชท/สัญญา และจำนวนข้อความ ผู้ใช้ และข้อความในองค์กรต่อวัน (30 วัน) — ไม่มีเนื้อหาแชท</t>
        </is>
      </c>
      <c r="G111" s="5" t="inlineStr">
        <is>
          <t>admin</t>
        </is>
      </c>
      <c r="H111" s="5" t="inlineStr">
        <is>
          <t>Should (ควรมี)</t>
        </is>
      </c>
      <c r="I111" s="4" t="inlineStr">
        <is>
          <t>P1</t>
        </is>
      </c>
      <c r="J111" s="5" t="inlineStr">
        <is>
          <t>AC1: export CSV ได้</t>
        </is>
      </c>
      <c r="K111" s="4" t="n">
        <v>1</v>
      </c>
      <c r="L111" s="13" t="inlineStr">
        <is>
          <t>เสร็จแล้ว</t>
        </is>
      </c>
      <c r="M111" s="14" t="n"/>
      <c r="N111" s="14" t="n"/>
      <c r="O111" s="14" t="n"/>
    </row>
    <row r="112" ht="40">
      <c r="A112" s="4" t="n">
        <v>108</v>
      </c>
      <c r="B112" s="5" t="inlineStr">
        <is>
          <t>FR-ADM-017</t>
        </is>
      </c>
      <c r="C112" s="4" t="inlineStr">
        <is>
          <t>M10</t>
        </is>
      </c>
      <c r="D112" s="5" t="inlineStr">
        <is>
          <t>ระบบหลังบ้าน</t>
        </is>
      </c>
      <c r="E112" s="5" t="inlineStr">
        <is>
          <t>จัดการผู้ใช้</t>
        </is>
      </c>
      <c r="F112" s="5" t="inlineStr">
        <is>
          <t>ระบบต้องให้ admin ค้นหาผู้ใช้ (อีเมล/ชื่อ), ดูสถานะ, เปลี่ยน role, ระงับ/ยกเลิกระงับ, บังคับ logout, รีเซ็ต quota — admin ไม่เห็นเนื้อหาแชท/คดีของผู้ใช้</t>
        </is>
      </c>
      <c r="G112" s="5" t="inlineStr">
        <is>
          <t>admin</t>
        </is>
      </c>
      <c r="H112" s="5" t="inlineStr">
        <is>
          <t>Must (ต้องมี)</t>
        </is>
      </c>
      <c r="I112" s="4" t="inlineStr">
        <is>
          <t>P1</t>
        </is>
      </c>
      <c r="J112" s="5" t="inlineStr">
        <is>
          <t>AC1: ทุกการกระทำบันทึก audit log พร้อมเหตุผล (ช่องบังคับ)
AC2: Given ระงับผู้ใช้ Then session ทั้งหมดถูกยกเลิกทันที</t>
        </is>
      </c>
      <c r="K112" s="4" t="n">
        <v>2</v>
      </c>
      <c r="L112" s="13" t="inlineStr">
        <is>
          <t>เสร็จแล้ว</t>
        </is>
      </c>
      <c r="M112" s="14" t="n"/>
      <c r="N112" s="14" t="n"/>
      <c r="O112" s="14" t="n"/>
    </row>
    <row r="113" ht="40">
      <c r="A113" s="4" t="n">
        <v>109</v>
      </c>
      <c r="B113" s="5" t="inlineStr">
        <is>
          <t>FR-ADM-018</t>
        </is>
      </c>
      <c r="C113" s="4" t="inlineStr">
        <is>
          <t>M10</t>
        </is>
      </c>
      <c r="D113" s="5" t="inlineStr">
        <is>
          <t>ระบบหลังบ้าน</t>
        </is>
      </c>
      <c r="E113" s="5" t="inlineStr">
        <is>
          <t>Audit Log Viewer</t>
        </is>
      </c>
      <c r="F113" s="5" t="inlineStr">
        <is>
          <t>ระบบต้องแสดง audit log (actor, action, target, ก่อน/หลัง (ไม่มีข้อมูลอ่อนไหว), IP hash, เวลา) กรองได้ และ export; audit log เป็น append-only</t>
        </is>
      </c>
      <c r="G113" s="5" t="inlineStr">
        <is>
          <t>admin</t>
        </is>
      </c>
      <c r="H113" s="5" t="inlineStr">
        <is>
          <t>Must (ต้องมี)</t>
        </is>
      </c>
      <c r="I113" s="4" t="inlineStr">
        <is>
          <t>P1</t>
        </is>
      </c>
      <c r="J113" s="5" t="inlineStr">
        <is>
          <t>AC1: ไม่มี UI/API ใดแก้ไขหรือลบ audit log ได้ (DB role ของแอปมีสิทธิ์ INSERT/SELECT เท่านั้น)</t>
        </is>
      </c>
      <c r="K113" s="4" t="n">
        <v>1</v>
      </c>
      <c r="L113" s="13" t="inlineStr">
        <is>
          <t>เสร็จแล้ว</t>
        </is>
      </c>
      <c r="M113" s="14" t="n"/>
      <c r="N113" s="14" t="n"/>
      <c r="O113" s="14" t="n"/>
    </row>
    <row r="114" ht="65">
      <c r="A114" s="4" t="n">
        <v>110</v>
      </c>
      <c r="B114" s="5" t="inlineStr">
        <is>
          <t>FR-ADM-021</t>
        </is>
      </c>
      <c r="C114" s="4" t="inlineStr">
        <is>
          <t>M10</t>
        </is>
      </c>
      <c r="D114" s="5" t="inlineStr">
        <is>
          <t>ระบบหลังบ้าน</t>
        </is>
      </c>
      <c r="E114" s="5" t="inlineStr">
        <is>
          <t>นำเข้าเนื้อหาจาก docs/knowledge-base/ (seed-kb)</t>
        </is>
      </c>
      <c r="F114" s="5" t="inlineStr">
        <is>
          <t>ระบบต้องมีคำสั่ง CLI python -m app.cli seed-kb --path /kb ที่นำเข้าไฟล์ Markdown + front-matter จาก docs/knowledge-base/ แบบ idempotent (อ้างด้วย slug + content hash) เป็นฉบับร่างที่ต้องผ่าน review workflow; เนื้อหาที่แก้ในหลังบ้านแล้วจะไม่ถูกนำเข้าทับ</t>
        </is>
      </c>
      <c r="G114" s="5" t="inlineStr">
        <is>
          <t>admin (CLI)</t>
        </is>
      </c>
      <c r="H114" s="5" t="inlineStr">
        <is>
          <t>Must (ต้องมี)</t>
        </is>
      </c>
      <c r="I114" s="4" t="inlineStr">
        <is>
          <t>P0</t>
        </is>
      </c>
      <c r="J114" s="5" t="inlineStr">
        <is>
          <t>AC1: รันซ้ำ 2 ครั้งไม่สร้างข้อมูลซ้ำ
AC2: ไฟล์ที่ front-matter ผิด schema ถูกรายงานพร้อมเลขบรรทัด และไม่หยุดทั้ง batch</t>
        </is>
      </c>
      <c r="K114" s="4" t="n">
        <v>2</v>
      </c>
      <c r="L114" s="13" t="inlineStr">
        <is>
          <t>กำลังทำ</t>
        </is>
      </c>
      <c r="M114" s="14" t="n"/>
      <c r="N114" s="14" t="n"/>
      <c r="O114" s="14" t="inlineStr">
        <is>
          <t>ไฟล์ที่ front-matter ผิดรูปแบบทำให้การนำเข้าหยุดทั้งชุด ยังไม่รายงานเลขบรรทัดและยังข้ามไฟล์ที่ผิดต่อไปไม่ได้</t>
        </is>
      </c>
    </row>
    <row r="115" ht="27.5">
      <c r="A115" s="4" t="n">
        <v>111</v>
      </c>
      <c r="B115" s="5" t="inlineStr">
        <is>
          <t>FR-ADM-022</t>
        </is>
      </c>
      <c r="C115" s="4" t="inlineStr">
        <is>
          <t>M10</t>
        </is>
      </c>
      <c r="D115" s="5" t="inlineStr">
        <is>
          <t>ระบบหลังบ้าน</t>
        </is>
      </c>
      <c r="E115" s="5" t="inlineStr">
        <is>
          <t>ประกาศระบบ (Announcement Banner)</t>
        </is>
      </c>
      <c r="F115" s="5" t="inlineStr">
        <is>
          <t>ระบบอาจให้ admin ตั้งแถบประกาศ (ข้อมูล/ปิดปรับปรุง) พร้อมช่วงเวลาแสดง และภาษา</t>
        </is>
      </c>
      <c r="G115" s="5" t="inlineStr">
        <is>
          <t>admin</t>
        </is>
      </c>
      <c r="H115" s="5" t="inlineStr">
        <is>
          <t>Could (อาจมี)</t>
        </is>
      </c>
      <c r="I115" s="4" t="inlineStr">
        <is>
          <t>P1</t>
        </is>
      </c>
      <c r="J115" s="5" t="inlineStr">
        <is>
          <t>AC1: ผู้ใช้ปิดแถบได้และไม่แสดงซ้ำสำหรับประกาศเดิม</t>
        </is>
      </c>
      <c r="K115" s="4" t="n">
        <v>1</v>
      </c>
      <c r="L115" s="13" t="inlineStr">
        <is>
          <t>เสร็จแล้ว</t>
        </is>
      </c>
      <c r="M115" s="14" t="n"/>
      <c r="N115" s="14" t="n"/>
      <c r="O115" s="14" t="n"/>
    </row>
    <row r="116" ht="52.5">
      <c r="A116" s="4" t="n">
        <v>112</v>
      </c>
      <c r="B116" s="5" t="inlineStr">
        <is>
          <t>FR-ADM-023</t>
        </is>
      </c>
      <c r="C116" s="4" t="inlineStr">
        <is>
          <t>M10</t>
        </is>
      </c>
      <c r="D116" s="5" t="inlineStr">
        <is>
          <t>ระบบหลังบ้าน</t>
        </is>
      </c>
      <c r="E116" s="5" t="inlineStr">
        <is>
          <t>จัดการคำขอสิทธิเจ้าของข้อมูล (DSR Queue)</t>
        </is>
      </c>
      <c r="F116" s="5" t="inlineStr">
        <is>
          <t>admin ต้องเห็นคิว app.dsr_requests เรียงตาม due_at กรองตามประเภท/สถานะ เปลี่ยนสถานะ บันทึก handled_by และหมายเหตุ; คำขอ erase เชื่อมกับงานลบบัญชีใน worker</t>
        </is>
      </c>
      <c r="G116" s="5" t="inlineStr">
        <is>
          <t>admin</t>
        </is>
      </c>
      <c r="H116" s="5" t="inlineStr">
        <is>
          <t>Must (ต้องมี)</t>
        </is>
      </c>
      <c r="I116" s="4" t="inlineStr">
        <is>
          <t>P1</t>
        </is>
      </c>
      <c r="J116" s="5" t="inlineStr">
        <is>
          <t>AC1: Given คำขอเหลือ ≤ 7 วันก่อน due_at Then แสดงธงเตือนสีแดงในคิว และส่งอีเมลสรุปรายวันให้ admin/DPO
AC2: ทุกการเปลี่ยนสถานะถูกบันทึกใน app.audit_log (ไม่มีข้อมูลส่วนบุคคลเกินจำเป็น)</t>
        </is>
      </c>
      <c r="K116" s="4" t="n">
        <v>2</v>
      </c>
      <c r="L116" s="13" t="inlineStr">
        <is>
          <t>กำลังทำ</t>
        </is>
      </c>
      <c r="M116" s="14" t="n"/>
      <c r="N116" s="14" t="n"/>
      <c r="O116" s="14" t="inlineStr">
        <is>
          <t>ยังไม่ได้ตั้ง SMTP จริง อีเมลสรุปรายวันถึงผู้ดูแลระบบจึงยังส่งไม่ถึงจริง (ส่วนคิว ธงแดง และ audit ทำงานแล้ว)</t>
        </is>
      </c>
    </row>
    <row r="117" ht="52.5">
      <c r="A117" s="4" t="n">
        <v>113</v>
      </c>
      <c r="B117" s="5" t="inlineStr">
        <is>
          <t>FR-ADM-024</t>
        </is>
      </c>
      <c r="C117" s="4" t="inlineStr">
        <is>
          <t>M10</t>
        </is>
      </c>
      <c r="D117" s="5" t="inlineStr">
        <is>
          <t>ระบบหลังบ้าน</t>
        </is>
      </c>
      <c r="E117" s="5" t="inlineStr">
        <is>
          <t>สวิตช์ฉุกเฉิน (Kill Switch)</t>
        </is>
      </c>
      <c r="F117" s="5" t="inlineStr">
        <is>
          <t>admin ต้องหยุดแชทของผู้ทดลองใช้ / แชททั้งหมด / การอัปโหลดสัญญา ได้ทันทีที่หน้า /admin/system โดยไม่ต้อง deploy พร้อมข้อความถึงผู้ใช้ (เก็บใน app.system_settings)</t>
        </is>
      </c>
      <c r="G117" s="5" t="inlineStr">
        <is>
          <t>admin</t>
        </is>
      </c>
      <c r="H117" s="5" t="inlineStr">
        <is>
          <t>Must (ต้องมี)</t>
        </is>
      </c>
      <c r="I117" s="4" t="inlineStr">
        <is>
          <t>P1</t>
        </is>
      </c>
      <c r="J117" s="5" t="inlineStr">
        <is>
          <t>AC1: การเปิด/ปิดสวิตช์มีผลภายในไม่กี่วินาที, ประวัติแชทยังอ่านได้, และบันทึก audit log
AC2: เมื่อสวิตช์เปิด ผู้ใช้เห็นข้อความที่ admin ตั้งไว้ (guardrail unavailable) และมีตัวชี้วัด lc_web_kill_switch_active</t>
        </is>
      </c>
      <c r="K117" s="4" t="n">
        <v>2</v>
      </c>
      <c r="L117" s="13" t="inlineStr">
        <is>
          <t>เสร็จแล้ว</t>
        </is>
      </c>
      <c r="M117" s="14" t="n"/>
      <c r="N117" s="14" t="n"/>
      <c r="O117" s="14" t="n"/>
    </row>
    <row r="118" ht="52.5">
      <c r="A118" s="4" t="n">
        <v>114</v>
      </c>
      <c r="B118" s="5" t="inlineStr">
        <is>
          <t>FR-ORG-001</t>
        </is>
      </c>
      <c r="C118" s="4" t="inlineStr">
        <is>
          <t>M11</t>
        </is>
      </c>
      <c r="D118" s="5" t="inlineStr">
        <is>
          <t>พื้นที่ทำงานองค์กร</t>
        </is>
      </c>
      <c r="E118" s="5" t="inlineStr">
        <is>
          <t>สร้างองค์กร</t>
        </is>
      </c>
      <c r="F118" s="5" t="inlineStr">
        <is>
          <t>member ต้องสร้างองค์กรได้ (ชื่อ และรหัสองค์กร/slug — ภาษาอังกฤษตัวเล็ก ตัวเลข หรือ -) ผ่านกล่องสลับพื้นที่ทำงานใน sidebar (/org/new) — ผู้สร้างเป็น org_owner; ข้อมูลเก็บใน app.organizations (Better Auth organization plugin)</t>
        </is>
      </c>
      <c r="G118" s="5" t="inlineStr">
        <is>
          <t>member</t>
        </is>
      </c>
      <c r="H118" s="5" t="inlineStr">
        <is>
          <t>Must (ต้องมี)</t>
        </is>
      </c>
      <c r="I118" s="4" t="inlineStr">
        <is>
          <t>P1</t>
        </is>
      </c>
      <c r="J118" s="5" t="inlineStr">
        <is>
          <t>AC1: Given ผู้ใช้ login แล้ว When สร้างองค์กร Then ผู้ใช้เป็น org_owner และกล่องสลับพื้นที่ทำงานใน sidebar แสดงชื่อองค์กร
AC2: Given slug ซ้ำ Then แจ้งให้เปลี่ยน และไม่สร้างองค์กร
AC3: guest สร้างองค์กรไม่ได้</t>
        </is>
      </c>
      <c r="K118" s="4" t="n">
        <v>3</v>
      </c>
      <c r="L118" s="13" t="inlineStr">
        <is>
          <t>กำลังทำ</t>
        </is>
      </c>
      <c r="M118" s="14" t="n"/>
      <c r="N118" s="14" t="n"/>
      <c r="O118" s="14" t="inlineStr">
        <is>
          <t>เมื่อรหัสองค์กรซ้ำ ฟอร์มสร้างองค์กรแสดงข้อความผิดพลาดทั่วไป ไม่ได้บอกให้เปลี่ยนรหัสองค์กร</t>
        </is>
      </c>
    </row>
    <row r="119" ht="77.5">
      <c r="A119" s="4" t="n">
        <v>115</v>
      </c>
      <c r="B119" s="5" t="inlineStr">
        <is>
          <t>FR-ORG-002</t>
        </is>
      </c>
      <c r="C119" s="4" t="inlineStr">
        <is>
          <t>M11</t>
        </is>
      </c>
      <c r="D119" s="5" t="inlineStr">
        <is>
          <t>พื้นที่ทำงานองค์กร</t>
        </is>
      </c>
      <c r="E119" s="5" t="inlineStr">
        <is>
          <t>เชิญสมาชิกทางอีเมล</t>
        </is>
      </c>
      <c r="F119" s="5" t="inlineStr">
        <is>
          <t>org_owner/org_admin ต้องเชิญสมาชิกด้วยอีเมลพร้อมกำหนด role (org_admin, org_member, org_counsel); คำเชิญหมดอายุใน 7 วัน (app.invitations)</t>
        </is>
      </c>
      <c r="G119" s="5" t="inlineStr">
        <is>
          <t>org_owner, org_admin</t>
        </is>
      </c>
      <c r="H119" s="5" t="inlineStr">
        <is>
          <t>Must (ต้องมี)</t>
        </is>
      </c>
      <c r="I119" s="4" t="inlineStr">
        <is>
          <t>P1</t>
        </is>
      </c>
      <c r="J119" s="5" t="inlineStr">
        <is>
          <t>AC1: Given ส่งคำเชิญ Then ผู้รับได้อีเมลที่มีลิงก์ accept_invitation และคำเชิญแสดงสถานะ pending
AC2: Given คำเชิญเกิน 7 วัน When กดลิงก์ Then แจ้งว่าหมดอายุและให้ขอคำเชิญใหม่
AC3: Given ผู้รับยังไม่มีบัญชี When กดลิงก์ Then สมัครแล้วเข้าองค์กรทันทีหลังยืนยันอีเมล</t>
        </is>
      </c>
      <c r="K119" s="4" t="n">
        <v>3</v>
      </c>
      <c r="L119" s="13" t="inlineStr">
        <is>
          <t>กำลังทำ</t>
        </is>
      </c>
      <c r="M119" s="14" t="n"/>
      <c r="N119" s="14" t="n"/>
      <c r="O119" s="14" t="inlineStr">
        <is>
          <t>คำเชิญส่งทางอีเมลได้เมื่อตั้ง SMTP จริงเท่านั้น ตอนนี้ฟอร์มเชิญถูกซ่อน และผู้ไม่มีบัญชียังต้องกดตอบรับเองหลังสมัคร</t>
        </is>
      </c>
    </row>
    <row r="120" ht="77.5">
      <c r="A120" s="4" t="n">
        <v>116</v>
      </c>
      <c r="B120" s="5" t="inlineStr">
        <is>
          <t>FR-ORG-003</t>
        </is>
      </c>
      <c r="C120" s="4" t="inlineStr">
        <is>
          <t>M11</t>
        </is>
      </c>
      <c r="D120" s="5" t="inlineStr">
        <is>
          <t>พื้นที่ทำงานองค์กร</t>
        </is>
      </c>
      <c r="E120" s="5" t="inlineStr">
        <is>
          <t>จัดการสมาชิกและ role</t>
        </is>
      </c>
      <c r="F120" s="5" t="inlineStr">
        <is>
          <t>org_owner/org_admin ต้องดูรายชื่อสมาชิก เปลี่ยน role และนำสมาชิกออกได้; org_owner โอนความเป็นเจ้าของได้; องค์กรต้องมี org_owner อย่างน้อย 1 คนเสมอ</t>
        </is>
      </c>
      <c r="G120" s="5" t="inlineStr">
        <is>
          <t>org_owner, org_admin</t>
        </is>
      </c>
      <c r="H120" s="5" t="inlineStr">
        <is>
          <t>Must (ต้องมี)</t>
        </is>
      </c>
      <c r="I120" s="4" t="inlineStr">
        <is>
          <t>P1</t>
        </is>
      </c>
      <c r="J120" s="5" t="inlineStr">
        <is>
          <t>AC1: Given org_admin พยายามเปลี่ยน role ของ org_owner Then ถูกปฏิเสธ (403)
AC2: Given นำสมาชิกออก Then สมาชิกเข้าข้อมูลขององค์กรไม่ได้ทันที (session ถัดไปไม่มีองค์กรนั้น) และข้อมูล private ของสมาชิกในองค์กรโอนให้ org_owner ตาม BR-026
AC3: ทุกการเปลี่ยน role/นำออก บันทึกใน app.audit_log พร้อม org_id</t>
        </is>
      </c>
      <c r="K120" s="4" t="n">
        <v>3</v>
      </c>
      <c r="L120" s="13" t="inlineStr">
        <is>
          <t>กำลังทำ</t>
        </is>
      </c>
      <c r="M120" s="14" t="n"/>
      <c r="N120" s="14" t="n"/>
      <c r="O120" s="14" t="inlineStr">
        <is>
          <t>สัญญาส่วนตัวที่สมาชิกอัปโหลดไม่ถูกโอนให้เจ้าขององค์กรเมื่อถูกนำออก (โอนเฉพาะแชทและโฟลเดอร์)</t>
        </is>
      </c>
    </row>
    <row r="121" ht="165">
      <c r="A121" s="4" t="n">
        <v>117</v>
      </c>
      <c r="B121" s="5" t="inlineStr">
        <is>
          <t>FR-ORG-004</t>
        </is>
      </c>
      <c r="C121" s="4" t="inlineStr">
        <is>
          <t>M11</t>
        </is>
      </c>
      <c r="D121" s="5" t="inlineStr">
        <is>
          <t>พื้นที่ทำงานองค์กร</t>
        </is>
      </c>
      <c r="E121" s="5" t="inlineStr">
        <is>
          <t>สลับองค์กร (Org Switcher)</t>
        </is>
      </c>
      <c r="F121" s="5" t="inlineStr">
        <is>
          <t>ผู้ใช้ที่อยู่หลายองค์กรต้องสลับ "บริบทปัจจุบัน" ระหว่างพื้นที่ส่วนตัวกับแต่ละองค์กรได้จากกล่อง "พื้นที่ทำงาน" ใน sidebar (Better Auth organization.setActive); แชท/สัญญาที่สร้างใหม่ผูกกับบริบทปัจจุบัน</t>
        </is>
      </c>
      <c r="G121" s="5" t="inlineStr">
        <is>
          <t>member</t>
        </is>
      </c>
      <c r="H121" s="5" t="inlineStr">
        <is>
          <t>Must (ต้องมี)</t>
        </is>
      </c>
      <c r="I121" s="4" t="inlineStr">
        <is>
          <t>P1</t>
        </is>
      </c>
      <c r="J121" s="5" t="inlineStr">
        <is>
          <t>AC1: Given สลับเป็นองค์กร A Then sidebar แสดงเฉพาะแชท/โฟลเดอร์ของบริบทองค์กร A ที่ผู้ใช้เห็นได้ (ของตนเอง + ที่แชร์ทั้งองค์กร); แชทในพื้นที่ส่วนตัวเห็นเมื่อสลับกลับไปพื้นที่ส่วนตัว
AC2: Given สร้างแชทใหม่ขณะอยู่ในองค์กร A Then app.chats.org_id = A - หมายเหตุ (สิ่งที่เห็นบนหน้าจอ): ปุ่มสลับพื้นที่ทำงาน (aria "สลับพื้นที่ทำงาน") แสดงชื่อพื้นที่กับคำรอง "พื้นที่ทำงาน" (ส่วนตัว) หรือ "องค์กร"; ผู้ไม่มีองค์กรเห็น "ส่วนตัว" + "สร้างพื้นที่ทำงานองค์กร"; สมาชิกองค์กรเห็น "ส่วนตัว" | ชื่อองค์กร | "สร้างพื้นที่ทำงานองค์กร" — เข้าระบบแล้วอยู่ที่ "ส่วนตัว" ก่อนและต้องเลือกองค์กรเอง; เมื่อเลือกองค์กร แถบซ้ายมีหัวข้อ "องค์กร": เจ้าขององค์กรเห็น "สมาชิกและตั้งค่า", "สัญญาขององค์กร", "ส่งเรื่องให้ที่ปรึกษา", "การใช้งาน", "บันทึกการตรวจสอบ"; สมาชิกทั่วไป (org_member) เห็นเฉพาะสามรายการแรก (เปิด /org/usage หรือ /org/audit ได้หน้า 404); ผู้ที่ยังอยู่ "ส่วนตัว" แล้วเปิดหน้าองค์กรจะถูกพาไปหน้า "สร้างพื้นที่ทำงานองค์กร"</t>
        </is>
      </c>
      <c r="K121" s="4" t="n">
        <v>2</v>
      </c>
      <c r="L121" s="13" t="inlineStr">
        <is>
          <t>เสร็จแล้ว</t>
        </is>
      </c>
      <c r="M121" s="14" t="n"/>
      <c r="N121" s="14" t="n"/>
      <c r="O121" s="14" t="n"/>
    </row>
    <row r="122" ht="40">
      <c r="A122" s="4" t="n">
        <v>118</v>
      </c>
      <c r="B122" s="5" t="inlineStr">
        <is>
          <t>FR-ORG-005</t>
        </is>
      </c>
      <c r="C122" s="4" t="inlineStr">
        <is>
          <t>M11</t>
        </is>
      </c>
      <c r="D122" s="5" t="inlineStr">
        <is>
          <t>พื้นที่ทำงานองค์กร</t>
        </is>
      </c>
      <c r="E122" s="5" t="inlineStr">
        <is>
          <t>Visibility ภายในองค์กร</t>
        </is>
      </c>
      <c r="F122" s="5" t="inlineStr">
        <is>
          <t>แชท โฟลเดอร์ และสัญญาในองค์กรต้องมี visibility private (เฉพาะผู้สร้าง + org_counsel เมื่อถูกส่งต่อ) หรือ org (สมาชิกทุกคนอ่านได้); ค่าเริ่มต้น private</t>
        </is>
      </c>
      <c r="G122" s="5" t="inlineStr">
        <is>
          <t>org_member</t>
        </is>
      </c>
      <c r="H122" s="5" t="inlineStr">
        <is>
          <t>Must (ต้องมี)</t>
        </is>
      </c>
      <c r="I122" s="4" t="inlineStr">
        <is>
          <t>P1</t>
        </is>
      </c>
      <c r="J122" s="5" t="inlineStr">
        <is>
          <t>AC1: Given สมาชิก B เปิด URL แชท private ของสมาชิก A Then ได้ 404 (ไม่เปิดเผยว่ามีอยู่)
AC2: Given เปลี่ยนเป็น org Then สมาชิกทุกคนในองค์กรเห็นแบบอ่านอย่างเดียว</t>
        </is>
      </c>
      <c r="K122" s="4" t="n">
        <v>2</v>
      </c>
      <c r="L122" s="13" t="inlineStr">
        <is>
          <t>กำลังทำ</t>
        </is>
      </c>
      <c r="M122" s="14" t="n"/>
      <c r="N122" s="14" t="n"/>
      <c r="O122" s="14" t="inlineStr">
        <is>
          <t>ตั้งการมองเห็นเป็นทั้งองค์กรได้เฉพาะแชทและสัญญา โฟลเดอร์ยังเปลี่ยนไม่ได้ (ไม่มีหน้าจอ/API)</t>
        </is>
      </c>
    </row>
    <row r="123" ht="52.5">
      <c r="A123" s="4" t="n">
        <v>119</v>
      </c>
      <c r="B123" s="5" t="inlineStr">
        <is>
          <t>FR-ORG-006</t>
        </is>
      </c>
      <c r="C123" s="4" t="inlineStr">
        <is>
          <t>M11</t>
        </is>
      </c>
      <c r="D123" s="5" t="inlineStr">
        <is>
          <t>พื้นที่ทำงานองค์กร</t>
        </is>
      </c>
      <c r="E123" s="5" t="inlineStr">
        <is>
          <t>การแยกข้อมูลระหว่างองค์กร (Tenant Isolation)</t>
        </is>
      </c>
      <c r="F123" s="5" t="inlineStr">
        <is>
          <t>ทุกคำขอที่อ่าน/เขียนข้อมูลขององค์กรต้องตรวจว่าผู้ใช้เป็นสมาชิกของ org_id นั้นและมี role ที่พอ; retrieval ของ AI ต้องไม่ดึงข้อมูลของลูกค้าองค์กรอื่น (สัญญาของลูกค้าไม่เข้า kb.chunks สาธารณะ)</t>
        </is>
      </c>
      <c r="G123" s="5" t="inlineStr">
        <is>
          <t>all</t>
        </is>
      </c>
      <c r="H123" s="5" t="inlineStr">
        <is>
          <t>Must (ต้องมี)</t>
        </is>
      </c>
      <c r="I123" s="4" t="inlineStr">
        <is>
          <t>P1</t>
        </is>
      </c>
      <c r="J123" s="5" t="inlineStr">
        <is>
          <t>AC1: Given ผู้ใช้ขององค์กร A เรียก API ด้วย id ของทรัพยากรองค์กร B Then ได้ 404 และบันทึก app.audit_log (event cross_tenant_denied)
AC2: ชุดทดสอบ tenant isolation อัตโนมัติรันทุก PR และต้องผ่าน 100% (NFR-SEC-012)</t>
        </is>
      </c>
      <c r="K123" s="4" t="n">
        <v>2</v>
      </c>
      <c r="L123" s="13" t="inlineStr">
        <is>
          <t>กำลังทำ</t>
        </is>
      </c>
      <c r="M123" s="14" t="n"/>
      <c r="N123" s="14" t="n"/>
      <c r="O123" s="14" t="inlineStr">
        <is>
          <t>ยังไม่มีชุดทดสอบ tenant isolation ที่รันอัตโนมัติทุก PR (CI รันเฉพาะ unit test ส่วน e2e-org รันมือ)</t>
        </is>
      </c>
    </row>
    <row r="124" ht="40">
      <c r="A124" s="4" t="n">
        <v>120</v>
      </c>
      <c r="B124" s="5" t="inlineStr">
        <is>
          <t>FR-ORG-007</t>
        </is>
      </c>
      <c r="C124" s="4" t="inlineStr">
        <is>
          <t>M11</t>
        </is>
      </c>
      <c r="D124" s="5" t="inlineStr">
        <is>
          <t>พื้นที่ทำงานองค์กร</t>
        </is>
      </c>
      <c r="E124" s="5" t="inlineStr">
        <is>
          <t>Quota และแพ็กเกจรายองค์กร</t>
        </is>
      </c>
      <c r="F124" s="5" t="inlineStr">
        <is>
          <t>องค์กรต้องมี quota ข้อความแชทต่อสมาชิกต่อวันและจำนวนที่นั่ง (BR-023) ที่ admin ระบบตั้งได้รายองค์กร (/admin/orgs); org_owner/org_admin เห็นการใช้งานใน /org/usage</t>
        </is>
      </c>
      <c r="G124" s="5" t="inlineStr">
        <is>
          <t>org_owner, org_admin, admin</t>
        </is>
      </c>
      <c r="H124" s="5" t="inlineStr">
        <is>
          <t>Must (ต้องมี)</t>
        </is>
      </c>
      <c r="I124" s="4" t="inlineStr">
        <is>
          <t>P1</t>
        </is>
      </c>
      <c r="J124" s="5" t="inlineStr">
        <is>
          <t>AC1: Given สมาชิกใช้ข้อความครบ quota ของวันในพื้นที่องค์กร When ส่งข้อความ Then แจ้ง guardrail quota (นับแยกจากพื้นที่ส่วนตัว)
AC2: หน้า usage แสดงจำนวนข้อความรายคน (ไม่แสดงเนื้อหา)</t>
        </is>
      </c>
      <c r="K124" s="4" t="n">
        <v>2</v>
      </c>
      <c r="L124" s="13" t="inlineStr">
        <is>
          <t>เสร็จแล้ว</t>
        </is>
      </c>
      <c r="M124" s="14" t="n"/>
      <c r="N124" s="14" t="n"/>
      <c r="O124" s="14" t="n"/>
    </row>
    <row r="125" ht="52.5">
      <c r="A125" s="4" t="n">
        <v>121</v>
      </c>
      <c r="B125" s="5" t="inlineStr">
        <is>
          <t>FR-ORG-008</t>
        </is>
      </c>
      <c r="C125" s="4" t="inlineStr">
        <is>
          <t>M11</t>
        </is>
      </c>
      <c r="D125" s="5" t="inlineStr">
        <is>
          <t>พื้นที่ทำงานองค์กร</t>
        </is>
      </c>
      <c r="E125" s="5" t="inlineStr">
        <is>
          <t>Audit Log ขององค์กร</t>
        </is>
      </c>
      <c r="F125" s="5" t="inlineStr">
        <is>
          <t>org_owner/org_admin ต้องดู audit log ขององค์กร (เข้าร่วม/ออก, เปลี่ยน role, อัปโหลด/ลบสัญญา, export, share_to_counsel, เปลี่ยน retention) กรองตามช่วงเวลา/ผู้ใช้/ประเภท และ export CSV ได้</t>
        </is>
      </c>
      <c r="G125" s="5" t="inlineStr">
        <is>
          <t>org_owner, org_admin</t>
        </is>
      </c>
      <c r="H125" s="5" t="inlineStr">
        <is>
          <t>Must (ต้องมี)</t>
        </is>
      </c>
      <c r="I125" s="4" t="inlineStr">
        <is>
          <t>P1</t>
        </is>
      </c>
      <c r="J125" s="5" t="inlineStr">
        <is>
          <t>AC1: log ไม่มีเนื้อหาแชทหรือเนื้อหาสัญญา มีเฉพาะ actor, action, resource id, เวลา
AC2: log เป็น append-only และเก็บตาม §6.2</t>
        </is>
      </c>
      <c r="K125" s="4" t="n">
        <v>2</v>
      </c>
      <c r="L125" s="13" t="inlineStr">
        <is>
          <t>กำลังทำ</t>
        </is>
      </c>
      <c r="M125" s="14" t="n"/>
      <c r="N125" s="14" t="n"/>
      <c r="O125" s="14" t="inlineStr">
        <is>
          <t>หน้าบันทึกตรวจสอบกรองตามผู้ใช้ไม่ได้ (มีเฉพาะช่วงเวลา/ประเภท) และยังไม่มีงานลบ audit ตามระยะเก็บ</t>
        </is>
      </c>
    </row>
    <row r="126" ht="40">
      <c r="A126" s="4" t="n">
        <v>122</v>
      </c>
      <c r="B126" s="5" t="inlineStr">
        <is>
          <t>FR-ORG-009</t>
        </is>
      </c>
      <c r="C126" s="4" t="inlineStr">
        <is>
          <t>M11</t>
        </is>
      </c>
      <c r="D126" s="5" t="inlineStr">
        <is>
          <t>พื้นที่ทำงานองค์กร</t>
        </is>
      </c>
      <c r="E126" s="5" t="inlineStr">
        <is>
          <t>ตั้งค่า Retention ขององค์กร</t>
        </is>
      </c>
      <c r="F126" s="5" t="inlineStr">
        <is>
          <t>org_owner/org_admin ต้องตั้งระยะเวลาเก็บไฟล์สัญญาและข้อความที่สกัด (30/90/180/365 วัน หรือ "จนกว่าจะลบ") ได้ใน app.org_settings; job ลบอัตโนมัติตามค่าที่ตั้ง (BR-024)</t>
        </is>
      </c>
      <c r="G126" s="5" t="inlineStr">
        <is>
          <t>org_owner, org_admin</t>
        </is>
      </c>
      <c r="H126" s="5" t="inlineStr">
        <is>
          <t>Must (ต้องมี)</t>
        </is>
      </c>
      <c r="I126" s="4" t="inlineStr">
        <is>
          <t>P1</t>
        </is>
      </c>
      <c r="J126" s="5" t="inlineStr">
        <is>
          <t>AC1: Given ตั้ง 90 วัน Then สัญญาที่เก่ากว่า 90 วันถูกลบทั้งไฟล์และข้อความที่สกัดโดยงานเบื้องหลัง
AC2: การเปลี่ยนค่าบันทึกใน audit log</t>
        </is>
      </c>
      <c r="K126" s="4" t="n">
        <v>2</v>
      </c>
      <c r="L126" s="13" t="inlineStr">
        <is>
          <t>กำลังทำ</t>
        </is>
      </c>
      <c r="M126" s="14" t="n"/>
      <c r="N126" s="14" t="n"/>
      <c r="O126" s="14" t="inlineStr">
        <is>
          <t>เปลี่ยนระยะเก็บแล้วมีผลเฉพาะสัญญาที่อัปโหลดใหม่ สัญญาเดิมยังใช้วันครบกำหนดเดิมที่คำนวณตอนอัปโหลด</t>
        </is>
      </c>
    </row>
    <row r="127" ht="52.5">
      <c r="A127" s="4" t="n">
        <v>123</v>
      </c>
      <c r="B127" s="5" t="inlineStr">
        <is>
          <t>FR-ORG-010</t>
        </is>
      </c>
      <c r="C127" s="4" t="inlineStr">
        <is>
          <t>M11</t>
        </is>
      </c>
      <c r="D127" s="5" t="inlineStr">
        <is>
          <t>พื้นที่ทำงานองค์กร</t>
        </is>
      </c>
      <c r="E127" s="5" t="inlineStr">
        <is>
          <t>ส่งเรื่องให้ที่ปรึกษากฎหมายขององค์กร (share_to_counsel)</t>
        </is>
      </c>
      <c r="F127" s="5" t="inlineStr">
        <is>
          <t>สมาชิกต้องส่งแชทของตนให้ org_counsel พร้อมข้อความประกอบ; org_counsel เห็นในคิว "ส่งเรื่องให้ที่ปรึกษา" (/org/counsel) และตอบกลับเป็นความเห็นได้ — ความเห็นเป็นของที่ปรึกษาขององค์กร ไม่ใช่ของระบบ</t>
        </is>
      </c>
      <c r="G127" s="5" t="inlineStr">
        <is>
          <t>org_member, org_counsel</t>
        </is>
      </c>
      <c r="H127" s="5" t="inlineStr">
        <is>
          <t>Must (ต้องมี)</t>
        </is>
      </c>
      <c r="I127" s="4" t="inlineStr">
        <is>
          <t>P1</t>
        </is>
      </c>
      <c r="J127" s="5" t="inlineStr">
        <is>
          <t>AC1: Given องค์กรไม่มี org_counsel Then ปุ่มส่งต่อถูกซ่อน และแสดงข้อความแนะนำให้ปรึกษาทนายความโดยตรง
AC2: Given ส่งต่อแล้ว Then org_counsel ได้รับแจ้งทางอีเมล และเห็นเฉพาะรายการที่ถูกส่งถึง (ไม่เห็นแชท private อื่นของผู้ส่ง)</t>
        </is>
      </c>
      <c r="K127" s="4" t="n">
        <v>2</v>
      </c>
      <c r="L127" s="13" t="inlineStr">
        <is>
          <t>กำลังทำ</t>
        </is>
      </c>
      <c r="M127" s="14" t="n"/>
      <c r="N127" s="14" t="n"/>
      <c r="O127" s="14" t="inlineStr">
        <is>
          <t>อีเมลแจ้งที่ปรึกษาส่งถึงจริงได้เมื่อมี SMTP จริงเท่านั้น (ฟอร์มส่งเรื่องและกล่องรับเรื่องของที่ปรึกษาทำงานแล้ว)</t>
        </is>
      </c>
    </row>
    <row r="128" ht="52.5">
      <c r="A128" s="4" t="n">
        <v>124</v>
      </c>
      <c r="B128" s="5" t="inlineStr">
        <is>
          <t>FR-ORG-011</t>
        </is>
      </c>
      <c r="C128" s="4" t="inlineStr">
        <is>
          <t>M11</t>
        </is>
      </c>
      <c r="D128" s="5" t="inlineStr">
        <is>
          <t>พื้นที่ทำงานองค์กร</t>
        </is>
      </c>
      <c r="E128" s="5" t="inlineStr">
        <is>
          <t>ออกจากองค์กรและลบองค์กร</t>
        </is>
      </c>
      <c r="F128" s="5" t="inlineStr">
        <is>
          <t>สมาชิกต้องออกจากองค์กรได้เอง; org_owner ลบองค์กรได้หลังพิมพ์ชื่อยืนยัน — ทุกคนเข้าไม่ได้ทันทีและได้อีเมลแจ้ง, org_owner ยกเลิกได้ภายใน 30 วัน, จากนั้นข้อมูลองค์กรทั้งหมด (สมาชิก แชท สัญญา) ถูกลบถาวร</t>
        </is>
      </c>
      <c r="G128" s="5" t="inlineStr">
        <is>
          <t>org_member, org_owner</t>
        </is>
      </c>
      <c r="H128" s="5" t="inlineStr">
        <is>
          <t>Must (ต้องมี)</t>
        </is>
      </c>
      <c r="I128" s="4" t="inlineStr">
        <is>
          <t>P1</t>
        </is>
      </c>
      <c r="J128" s="5" t="inlineStr">
        <is>
          <t>AC1: Given org_owner คนสุดท้ายกดออก Then ต้องโอนเจ้าของหรือลบองค์กรก่อน
AC2: การลบองค์กรสร้าง job ที่ตรวจสอบได้ว่าลบครบ (จำนวนแถว/ไฟล์ที่ลบ)</t>
        </is>
      </c>
      <c r="K128" s="4" t="n">
        <v>2</v>
      </c>
      <c r="L128" s="13" t="inlineStr">
        <is>
          <t>กำลังทำ</t>
        </is>
      </c>
      <c r="M128" s="14" t="n"/>
      <c r="N128" s="14" t="n"/>
      <c r="O128" s="14" t="inlineStr">
        <is>
          <t>อีเมลแจ้งสมาชิกเมื่อลบองค์กรส่งจริงได้เมื่อมี SMTP จริงเท่านั้น (ส่วนออก/ลบ/ยกเลิก 30 วัน/purge ครบแล้ว)</t>
        </is>
      </c>
    </row>
    <row r="129" ht="77.5">
      <c r="A129" s="4" t="n">
        <v>125</v>
      </c>
      <c r="B129" s="5" t="inlineStr">
        <is>
          <t>FR-CR-001</t>
        </is>
      </c>
      <c r="C129" s="4" t="inlineStr">
        <is>
          <t>M12</t>
        </is>
      </c>
      <c r="D129" s="5" t="inlineStr">
        <is>
          <t>ตรวจสัญญา</t>
        </is>
      </c>
      <c r="E129" s="5" t="inlineStr">
        <is>
          <t>อัปโหลดสัญญา</t>
        </is>
      </c>
      <c r="F129" s="5" t="inlineStr">
        <is>
          <t>สมาชิกองค์กรต้องอัปโหลดสัญญา PDF/DOCX (≤ CONTRACT_MAX_MB = 20 MB, ≤ CONTRACT_MAX_PAGES = 50 หน้า) ที่ /contracts (upload_contract) — ไฟล์ผ่านการตรวจชนิดจากเนื้อไฟล์ (magic bytes) + สแกนไวรัส (ClamAV) แล้วเก็บใน MinIO แบบเข้ารหัส แยกตาม org_id (app.contracts) — เข้ารหัสทั้งไฟล์ด้วย key ต่อไฟล์ในหน่วยความจำ (ไม่ใช่ stream แบบ chunk) เพราะไฟล์ ≤ 20 MB</t>
        </is>
      </c>
      <c r="G129" s="5" t="inlineStr">
        <is>
          <t>org_member</t>
        </is>
      </c>
      <c r="H129" s="5" t="inlineStr">
        <is>
          <t>Must (ต้องมี)</t>
        </is>
      </c>
      <c r="I129" s="4" t="inlineStr">
        <is>
          <t>P1</t>
        </is>
      </c>
      <c r="J129" s="5" t="inlineStr">
        <is>
          <t>AC1: Given ไฟล์เกินขนาด/หน้า ติดรหัสผ่าน หรือชนิดไม่รองรับ Then ปฏิเสธพร้อมเหตุผลที่อ่านเข้าใจ
AC2: Given ไฟล์ติดไวรัส Then ปฏิเสธ ลบไฟล์ และบันทึก audit
AC3: Given อัปโหลดสำเร็จ Then สัญญาอยู่ในรายการ /contracts สถานะ uploaded visibility private</t>
        </is>
      </c>
      <c r="K129" s="4" t="n">
        <v>3</v>
      </c>
      <c r="L129" s="13" t="inlineStr">
        <is>
          <t>เสร็จแล้ว</t>
        </is>
      </c>
      <c r="M129" s="14" t="n"/>
      <c r="N129" s="14" t="n"/>
      <c r="O129" s="14" t="n"/>
    </row>
    <row r="130" ht="65">
      <c r="A130" s="4" t="n">
        <v>126</v>
      </c>
      <c r="B130" s="5" t="inlineStr">
        <is>
          <t>FR-CR-002</t>
        </is>
      </c>
      <c r="C130" s="4" t="inlineStr">
        <is>
          <t>M12</t>
        </is>
      </c>
      <c r="D130" s="5" t="inlineStr">
        <is>
          <t>ตรวจสัญญา</t>
        </is>
      </c>
      <c r="E130" s="5" t="inlineStr">
        <is>
          <t>สกัดข้อความและแยกข้อสัญญา</t>
        </is>
      </c>
      <c r="F130" s="5" t="inlineStr">
        <is>
          <t>ระบบต้องสกัดข้อความจาก PDF ที่มี text layer และ DOCX พร้อมเลขหน้า แยกเป็นข้อตามเลข "ข้อ" และแสดงชื่อคู่สัญญาที่ตรวจพบ (ยังไม่ได้ยืนยัน) — เป็นการแยกอัตโนมัติที่อาจคลาดเคลื่อน ผู้ใช้ต้องเทียบกับต้นฉบับ; ถ้าไฟล์ไม่มีข้อความ (สแกนเป็นภาพ) ต้องแจ้งว่ายังไม่รองรับ</t>
        </is>
      </c>
      <c r="G130" s="5" t="inlineStr">
        <is>
          <t>org_member</t>
        </is>
      </c>
      <c r="H130" s="5" t="inlineStr">
        <is>
          <t>Must (ต้องมี)</t>
        </is>
      </c>
      <c r="I130" s="4" t="inlineStr">
        <is>
          <t>P1</t>
        </is>
      </c>
      <c r="J130" s="5" t="inlineStr">
        <is>
          <t>AC1: Given PDF ที่ข้อความน้อยกว่าเกณฑ์ต่อหน้า Then สถานะ unsupported_scan และแนะนำให้อัปโหลดไฟล์ต้นฉบับ
AC2: ข้อความที่สกัดเก็บแบบเข้ารหัส และไม่เข้า kb.chunks
AC3: Given อ่านไฟล์เสร็จ Then สถานะ ready และหน้ารายละเอียดแสดงข้อสัญญาพร้อมเลขหน้า</t>
        </is>
      </c>
      <c r="K130" s="4" t="n">
        <v>3</v>
      </c>
      <c r="L130" s="13" t="inlineStr">
        <is>
          <t>เสร็จแล้ว</t>
        </is>
      </c>
      <c r="M130" s="14" t="n"/>
      <c r="N130" s="14" t="n"/>
      <c r="O130" s="14" t="n"/>
    </row>
    <row r="131" ht="40">
      <c r="A131" s="4" t="n">
        <v>127</v>
      </c>
      <c r="B131" s="5" t="inlineStr">
        <is>
          <t>FR-CR-009</t>
        </is>
      </c>
      <c r="C131" s="4" t="inlineStr">
        <is>
          <t>M12</t>
        </is>
      </c>
      <c r="D131" s="5" t="inlineStr">
        <is>
          <t>ตรวจสัญญา</t>
        </is>
      </c>
      <c r="E131" s="5" t="inlineStr">
        <is>
          <t>ลบสัญญา</t>
        </is>
      </c>
      <c r="F131" s="5" t="inlineStr">
        <is>
          <t>ผู้อัปโหลด, org_admin หรือ org_owner ต้องลบสัญญาได้ (delete_contract; ผู้ดูแลลบได้แม้อ่านเนื้อหาไม่ได้) — สัญญาหายจากรายการทันที และงานเบื้องหลังลบไฟล์และข้อความที่สกัดออกถาวรภายใน 1 ชั่วโมง</t>
        </is>
      </c>
      <c r="G131" s="5" t="inlineStr">
        <is>
          <t>org_member, org_admin, org_owner</t>
        </is>
      </c>
      <c r="H131" s="5" t="inlineStr">
        <is>
          <t>Must (ต้องมี)</t>
        </is>
      </c>
      <c r="I131" s="4" t="inlineStr">
        <is>
          <t>P1</t>
        </is>
      </c>
      <c r="J131" s="5" t="inlineStr">
        <is>
          <t>AC1: Given ลบแล้ว Then เรียก get_contract ได้ 404 และ object ใน MinIO ถูกลบ (ตรวจได้จาก job log)</t>
        </is>
      </c>
      <c r="K131" s="4" t="n">
        <v>1</v>
      </c>
      <c r="L131" s="13" t="inlineStr">
        <is>
          <t>กำลังทำ</t>
        </is>
      </c>
      <c r="M131" s="14" t="n"/>
      <c r="N131" s="14" t="n"/>
      <c r="O131" s="14" t="inlineStr">
        <is>
          <t>ผู้ดูแลองค์กรไม่เห็นสัญญาส่วนตัวของคนอื่นบนหน้าจอ จึงลบผ่านหน้าจอไม่ได้ (ลบได้เฉพาะเมื่อเรียก API ตรง)</t>
        </is>
      </c>
    </row>
    <row r="132" ht="40">
      <c r="A132" s="4" t="n">
        <v>128</v>
      </c>
      <c r="B132" s="5" t="inlineStr">
        <is>
          <t>FR-CR-010</t>
        </is>
      </c>
      <c r="C132" s="4" t="inlineStr">
        <is>
          <t>M12</t>
        </is>
      </c>
      <c r="D132" s="5" t="inlineStr">
        <is>
          <t>ตรวจสัญญา</t>
        </is>
      </c>
      <c r="E132" s="5" t="inlineStr">
        <is>
          <t>ไม่นำข้อมูลลูกค้าไปใช้นอกวัตถุประสงค์ของบริการ</t>
        </is>
      </c>
      <c r="F132" s="5" t="inlineStr">
        <is>
          <t>ระบบต้องไม่ใช้สัญญา ข้อความที่สกัด หรือแชทขององค์กรนอกวัตถุประสงค์ของบริการ — ข้อความนี้ต้องอยู่ในข้อกำหนดบริการ/DPA</t>
        </is>
      </c>
      <c r="G132" s="5" t="inlineStr">
        <is>
          <t>all</t>
        </is>
      </c>
      <c r="H132" s="5" t="inlineStr">
        <is>
          <t>Must (ต้องมี)</t>
        </is>
      </c>
      <c r="I132" s="4" t="inlineStr">
        <is>
          <t>P1</t>
        </is>
      </c>
      <c r="J132" s="5" t="inlineStr">
        <is>
          <t>AC1: ข้อความสัญญาไม่ถูกเก็บใน kb.chunks, log หรือตารางอื่นนอกจาก app.contracts (เข้ารหัส) และผลตรวจ (เข้ารหัส เก็บเลขข้อกับข้อความสั้นเท่านั้น)</t>
        </is>
      </c>
      <c r="K132" s="4" t="n">
        <v>1</v>
      </c>
      <c r="L132" s="13" t="inlineStr">
        <is>
          <t>กำลังทำ</t>
        </is>
      </c>
      <c r="M132" s="14" t="n"/>
      <c r="N132" s="14" t="n"/>
      <c r="O132" s="14" t="inlineStr">
        <is>
          <t>ข้อกำหนดบริการและประกาศความเป็นส่วนตัวยังไม่มีข้อความเรื่องไม่นำสัญญา/ข้อมูลองค์กรไปใช้นอกวัตถุประสงค์ และยังไม่มี DPA</t>
        </is>
      </c>
    </row>
    <row r="133" ht="377.5">
      <c r="A133" s="4" t="n">
        <v>129</v>
      </c>
      <c r="B133" s="5" t="inlineStr">
        <is>
          <t>FR-CR-011</t>
        </is>
      </c>
      <c r="C133" s="4" t="inlineStr">
        <is>
          <t>M12</t>
        </is>
      </c>
      <c r="D133" s="5" t="inlineStr">
        <is>
          <t>ตรวจสัญญา</t>
        </is>
      </c>
      <c r="E133" s="5" t="inlineStr">
        <is>
          <t>ตรวจสัญญารายข้อ</t>
        </is>
      </c>
      <c r="F133" s="5" t="inlineStr">
        <is>
          <t>ในหน้า /contracts/[id] สมาชิกที่อ่านสัญญาได้กด "ตรวจสัญญา" (start_contract_review, POST /api/v1/contracts/{id}/review) เมื่อสถานะสัญญา ready/reviewed และตัวตรวจไม่ใช่ off → สร้างแถวใน app.contract_reviews + งาน review_contract (migration 0025); worker ปกปิด PII ในข้อสัญญาก่อนส่งให้ตัวตรวจ แล้วเก็บผลแบบเข้ารหัส (เก็บเฉพาะผลล่าสุด) — ผลประกอบด้วยสรุปสาระสำคัญ (คู่สัญญา ระยะเวลา การชำระเงิน การเลิกสัญญา ค่าปรับ กฎหมายและศาลที่ใช้บังคับ) และผลรายข้อระดับ เสี่ยงสูง/ปานกลาง/ต่ำ/ไม่พบประเด็น พร้อมข้อเสนอแนะ; หน้าจอกรองตามระดับได้ มี disclaimer ว่าเป็นข้อมูลทั่วไป (ข้อความข้างต้นเป็นรูปแบบผลของตัวตรวจที่ให้ระดับความเสี่ยง; ตัวตรวจ pnc ที่ระบบทดสอบใช้อยู่ให้ผลตามที่ระบุใน AC2b); get_contract_review (GET ที่ path เดียวกัน) คืนผลล่าสุด</t>
        </is>
      </c>
      <c r="G133" s="5" t="inlineStr">
        <is>
          <t>org_member (ผู้ที่อ่านสัญญานั้นได้)</t>
        </is>
      </c>
      <c r="H133" s="5" t="inlineStr">
        <is>
          <t>Must (ต้องมี)</t>
        </is>
      </c>
      <c r="I133" s="4" t="inlineStr">
        <is>
          <t>P1</t>
        </is>
      </c>
      <c r="J133" s="5" t="inlineStr">
        <is>
          <t>AC1: Given ตัวตรวจเป็น off Then ไม่มีปุ่ม/แผงตรวจสัญญาในหน้าสัญญา และ start_contract_review ตอบ REVIEW_DISABLED
AC2: Given ตัวตรวจเป็น mock และตรวจเสร็จ Then แสดงป้าย "ผลจำลองสำหรับทดสอบระบบ" ข้างหัวข้อผลตรวจ; mock ไม่อ้างมาตรา/ตัวเลขของตนเอง และถูกปฏิเสธเมื่อ APP_ENV=prod - AC2b: Given ตัวตรวจเป็น pnc และตรวจเสร็จ Then ผลรายข้อเป็นข้อความคำตอบ (render ผ่าน Markdown ที่ sanitize, ยาวแล้วพับ "ดูทั้งหมด") ไม่มีป้ายหรือตัวกรองระดับความเสี่ยง และไม่ถูกนับเป็น "ไม่พบประเด็น"; ข้อที่ไม่ได้รับคำตอบแสดง "ไม่ได้รับคำตอบสำหรับข้อนี้"; สัญญาเกิน 30 ข้อแจ้งจำนวนข้อที่ไม่ได้ตรวจ; ถ้าไม่ได้คำตอบเลยสักข้อการตรวจล้มเหลวด้วยรหัส (เช่น REVIEW_NO_ANSWER, REVIEW_TIMEOUT) - AC2c: หน้าจอที่เห็นจริงเมื่อใช้ตัวตรวจ pnc: หัวข้อ "ตรวจสัญญา" มีปุ่ม "ตรวจสัญญา" (หลังตรวจเป็น "ตรวจอีกครั้ง") พร้อมข้อความว่าระบบส่งสัญญาไปสอบถามฐานความรู้กฎหมายของบริษัททีละข้อ (สูงสุด 30 ข้อแรก) และข้อความของแต่ละข้อที่ปกปิดข้อมูลส่วนบุคคลแล้วถูกส่งไปยังบริการของบริษัท PromptNow; ระหว่างตรวจขึ้นป้าย "กำลังตรวจสัญญา" และ "กำลังสอบถามทีละข้อ อาจใช้เวลาหลายนาที…"; ผลมีกล่อง "สรุปสาระสำคัญ" ที่มีเฉพาะแถว "คู่สัญญา" (ติดป้ายว่าดึงจากข้อความ ยังไม่ได้ยืนยัน) และหัวข้อ "ผลตรวจรายข้อ" เป็นการ์ดต่อข้อ (เช่น "ข้อ 1 — ขอบเขตงาน") ที่มีข้อความ "ความเสี่ยง: …" และ "วิธีแก้ไข: …" และลิงก์ "ดูทั้งหมด"; ไม่มีป้ายระดับความเสี่ยง ไม่มีการอ้างมาตรา และไม่มีปุ่มส่งออกหรือส่งให้ที่ปรึกษา; ท้ายผลมีข้อความว่าเป็นข้อมูลกฎหมายทั่วไป ควรให้ทนายความตรวจสัญญาก่อนลงนาม
AC3: Given กดตรวจซ้ำขณะยังตรวจอยู่ Then ตอบ REVIEW_RUNNING; ถ้าไม่มีผลเกิน 15 นาทีถือว่าค้าง ให้ตรวจใหม่ได้
AC4: Given ตรวจครบโควตารายเดือนขององค์กร (app.org_settings.contract_reviews_monthly ค่าเริ่มต้น 50, ผู้ดูแลระบบปรับได้) Then ตอบ REVIEW_QUOTA; rate limit ต่อผู้ใช้ (RATE_REVIEW_PER_MIN); สวิตช์ฉุกเฉิน "การอัปโหลดสัญญา" หยุดการตรวจด้วย (UPLOADS_PAUSED)
AC5: ความล้มเหลวของตัวตรวจแสดงเป็นรหัสที่มีข้อความอธิบาย (เช่น REVIEW_UNAVAILABLE, REVIEW_TIMEOUT) ไม่แสดงข้อความสัญญา; ผู้อ่านสัญญาเท่านั้นเรียกดูผลได้ (คนอื่นได้ 404); การเริ่มตรวจบันทึก audit org.contract_review_started</t>
        </is>
      </c>
      <c r="K133" s="4" t="n">
        <v>5</v>
      </c>
      <c r="L133" s="13" t="inlineStr">
        <is>
          <t>กำลังทำ</t>
        </is>
      </c>
      <c r="M133" s="14" t="n"/>
      <c r="N133" s="14" t="n"/>
      <c r="O133" s="14" t="inlineStr">
        <is>
          <t>ผู้ดูแลระบบยังปรับโควตาตรวจสัญญารายเดือนผ่านหน้าจอไม่ได้ (ค่าเริ่มต้น 50 แก้ได้เฉพาะในฐานข้อมูล)</t>
        </is>
      </c>
    </row>
    <row r="134" ht="40">
      <c r="A134" s="4" t="n">
        <v>130</v>
      </c>
      <c r="B134" s="5" t="inlineStr">
        <is>
          <t>FR-CR-012</t>
        </is>
      </c>
      <c r="C134" s="4" t="inlineStr">
        <is>
          <t>M12</t>
        </is>
      </c>
      <c r="D134" s="5" t="inlineStr">
        <is>
          <t>ตรวจสัญญา</t>
        </is>
      </c>
      <c r="E134" s="5" t="inlineStr">
        <is>
          <t>รายการสัญญาขององค์กร</t>
        </is>
      </c>
      <c r="F134" s="5" t="inlineStr">
        <is>
          <t>/contracts ต้องแสดงรายการสัญญา (ชื่อไฟล์, คู่สัญญาที่ตรวจพบ, สถานะ, ผู้อัปโหลด, วันที่) ตาม visibility และให้เปลี่ยน visibility เป็น "ทั้งองค์กร" ได้ในหน้าสัญญา</t>
        </is>
      </c>
      <c r="G134" s="5" t="inlineStr">
        <is>
          <t>org_member</t>
        </is>
      </c>
      <c r="H134" s="5" t="inlineStr">
        <is>
          <t>Must (ต้องมี)</t>
        </is>
      </c>
      <c r="I134" s="4" t="inlineStr">
        <is>
          <t>P1</t>
        </is>
      </c>
      <c r="J134" s="5" t="inlineStr">
        <is>
          <t>AC1: สมาชิกเห็นเฉพาะสัญญาของตัวเองและที่เป็น org (BR-024)</t>
        </is>
      </c>
      <c r="K134" s="4" t="n">
        <v>1</v>
      </c>
      <c r="L134" s="13" t="inlineStr">
        <is>
          <t>เสร็จแล้ว</t>
        </is>
      </c>
      <c r="M134" s="14" t="n"/>
      <c r="N134" s="14" t="n"/>
      <c r="O134" s="14" t="n"/>
    </row>
    <row r="135"/>
    <row r="136"/>
    <row r="137"/>
    <row r="138"/>
    <row r="139"/>
    <row r="140"/>
  </sheetData>
  <autoFilter ref="A4:O134"/>
  <dataValidations count="1">
    <dataValidation sqref="L5:L134" showDropDown="0" showInputMessage="0" showErrorMessage="1" allowBlank="1" error="เลือกสถานะจากรายการ" type="list">
      <formula1>"ยังไม่เริ่ม,กำลังทำ,รอตรวจ,เสร็จแล้ว,เลื่อนออก"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0" zoomScale="90" zoomScaleNormal="90" workbookViewId="0">
      <pane ySplit="4" topLeftCell="A5" activePane="bottomLeft" state="frozen"/>
      <selection pane="bottomLeft" activeCell="A1" sqref="A1"/>
    </sheetView>
  </sheetViews>
  <sheetFormatPr baseColWidth="8" defaultColWidth="8.5703125" defaultRowHeight="15" customHeight="0"/>
  <cols>
    <col width="7" customWidth="1" min="1" max="1"/>
    <col width="16" customWidth="1" min="2" max="2"/>
    <col width="22" customWidth="1" min="3" max="3"/>
    <col width="50" customWidth="1" min="4" max="4"/>
    <col width="45" customWidth="1" min="5" max="5"/>
    <col width="35" customWidth="1" min="6" max="6"/>
    <col width="55" customWidth="1" min="7" max="7"/>
  </cols>
  <sheetData>
    <row r="1" ht="17.85" customHeight="1">
      <c r="A1" s="1" t="inlineStr">
        <is>
          <t>ข้อกำหนดคุณภาพที่ MVP ต้องผ่าน</t>
        </is>
      </c>
    </row>
    <row r="2">
      <c r="A2" s="2" t="inlineStr">
        <is>
          <t>73 ข้อ · ใช้กับทุกฟีเจอร์ · ที่มา docs/02-srs.md §5 ฉบับ 1.8 (1 ต.ค. 2569)</t>
        </is>
      </c>
    </row>
    <row r="4" ht="30" customHeight="1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หมวด</t>
        </is>
      </c>
      <c r="D4" s="3" t="inlineStr">
        <is>
          <t>ข้อกำหนด</t>
        </is>
      </c>
      <c r="E4" s="3" t="inlineStr">
        <is>
          <t>เป้าหมาย</t>
        </is>
      </c>
      <c r="F4" s="3" t="inlineStr">
        <is>
          <t>วิธีวัด</t>
        </is>
      </c>
      <c r="G4" s="3" t="inlineStr">
        <is>
          <t>สถานะ/ผลตรวจล่าสุด (ตาม SRS)</t>
        </is>
      </c>
    </row>
    <row r="5" ht="40">
      <c r="A5" s="4" t="n">
        <v>1</v>
      </c>
      <c r="B5" s="5" t="inlineStr">
        <is>
          <t>NFR-PERF-001</t>
        </is>
      </c>
      <c r="C5" s="5" t="inlineStr">
        <is>
          <t>Performance</t>
        </is>
      </c>
      <c r="D5" s="5" t="inlineStr">
        <is>
          <t>TTFT ของแชท (ส่ง → chunk แรก)</t>
        </is>
      </c>
      <c r="E5" s="5" t="inlineStr">
        <is>
          <t>p50 ≤ 1.5s, p95 ≤ 3s (ไม่รวมคิวเมื่อเกิน capacity)</t>
        </is>
      </c>
      <c r="F5" s="5" t="inlineStr">
        <is>
          <t>APM + ตัวชี้วัดของ AI service</t>
        </is>
      </c>
      <c r="G5" s="5" t="inlineStr">
        <is>
          <t>ผลตรวจ 30 ก.ย. 2569: ~21 VUs p95 144 ms; 200 streams พร้อมกัน p95 3.48 s (เกิน 3 s เล็กน้อย) (spec §7.13 E)</t>
        </is>
      </c>
    </row>
    <row r="6">
      <c r="A6" s="4" t="n">
        <v>2</v>
      </c>
      <c r="B6" s="5" t="inlineStr">
        <is>
          <t>NFR-PERF-002</t>
        </is>
      </c>
      <c r="C6" s="5" t="inlineStr">
        <is>
          <t>Performance</t>
        </is>
      </c>
      <c r="D6" s="5" t="inlineStr">
        <is>
          <t>Page load (LCP) หน้า content บน 4G จำลอง</t>
        </is>
      </c>
      <c r="E6" s="5" t="inlineStr">
        <is>
          <t>≤ 2.5s p75</t>
        </is>
      </c>
      <c r="F6" s="5" t="inlineStr">
        <is>
          <t>Lighthouse CI / RUM</t>
        </is>
      </c>
      <c r="G6" s="5" t="n"/>
    </row>
    <row r="7" ht="27.5">
      <c r="A7" s="4" t="n">
        <v>3</v>
      </c>
      <c r="B7" s="5" t="inlineStr">
        <is>
          <t>NFR-PERF-003</t>
        </is>
      </c>
      <c r="C7" s="5" t="inlineStr">
        <is>
          <t>Performance</t>
        </is>
      </c>
      <c r="D7" s="5" t="inlineStr">
        <is>
          <t>Search latency (search)</t>
        </is>
      </c>
      <c r="E7" s="5" t="inlineStr">
        <is>
          <t>≤ 800ms p95</t>
        </is>
      </c>
      <c r="F7" s="5" t="inlineStr">
        <is>
          <t>APM</t>
        </is>
      </c>
      <c r="G7" s="5" t="inlineStr">
        <is>
          <t>ผลตรวจ 30 ก.ย. 2569: ค้นหา p95 149 ms (~21 VUs), 695 ms (58 VUs) — ผ่าน</t>
        </is>
      </c>
    </row>
    <row r="8" ht="52.5">
      <c r="A8" s="4" t="n">
        <v>4</v>
      </c>
      <c r="B8" s="5" t="inlineStr">
        <is>
          <t>NFR-PERF-004</t>
        </is>
      </c>
      <c r="C8" s="5" t="inlineStr">
        <is>
          <t>Performance</t>
        </is>
      </c>
      <c r="D8" s="5" t="inlineStr">
        <is>
          <t>JSON API ทั่วไป</t>
        </is>
      </c>
      <c r="E8" s="5" t="inlineStr">
        <is>
          <t>≤ 300ms p95</t>
        </is>
      </c>
      <c r="F8" s="5" t="inlineStr">
        <is>
          <t>APM</t>
        </is>
      </c>
      <c r="G8" s="5" t="inlineStr">
        <is>
          <t>ผลตรวจ 30 ก.ย. 2569: API ทั่วไป p95 88 ms (~21 VUs) ผ่าน; 406 ms ที่ 58 VUs พร้อมกันบนเครื่องทดสอบที่ใช้ร่วม (ไม่ผ่าน) — ต้องรันหลาย instance/แยกเครื่อง และวัดซ้ำบนเครื่อง production</t>
        </is>
      </c>
    </row>
    <row r="9" ht="27.5">
      <c r="A9" s="4" t="n">
        <v>5</v>
      </c>
      <c r="B9" s="5" t="inlineStr">
        <is>
          <t>NFR-PERF-005</t>
        </is>
      </c>
      <c r="C9" s="5" t="inlineStr">
        <is>
          <t>Performance</t>
        </is>
      </c>
      <c r="D9" s="5" t="inlineStr">
        <is>
          <t>Concurrent chat streams</t>
        </is>
      </c>
      <c r="E9" s="5" t="inlineStr">
        <is>
          <t>200 streams พร้อมกัน</t>
        </is>
      </c>
      <c r="F9" s="5" t="inlineStr">
        <is>
          <t>load test (k6)</t>
        </is>
      </c>
      <c r="G9" s="5" t="inlineStr">
        <is>
          <t>ผลตรวจ 30 ก.ย. 2569: 200 streams พร้อมกันสำเร็จ 1,939/1,939 ไม่มีข้อผิดพลาด ; TTFT เกินเป้าเล็กน้อย</t>
        </is>
      </c>
    </row>
    <row r="10" ht="27.5">
      <c r="A10" s="4" t="n">
        <v>6</v>
      </c>
      <c r="B10" s="5" t="inlineStr">
        <is>
          <t>NFR-PERF-006</t>
        </is>
      </c>
      <c r="C10" s="5" t="inlineStr">
        <is>
          <t>Performance</t>
        </is>
      </c>
      <c r="D10" s="5" t="inlineStr">
        <is>
          <t>เวลาจบคำตอบ (complete)</t>
        </is>
      </c>
      <c r="E10" s="5" t="inlineStr">
        <is>
          <t>p95 ≤ 30s</t>
        </is>
      </c>
      <c r="F10" s="5" t="inlineStr">
        <is>
          <t>APM</t>
        </is>
      </c>
      <c r="G10" s="5" t="inlineStr">
        <is>
          <t>ผลตรวจ 30 ก.ย. 2569: แชทจบ p95 5.8 s (~21 VUs), 21.4 s (200 streams) — ผ่านเกณฑ์ 30 s</t>
        </is>
      </c>
    </row>
    <row r="11">
      <c r="A11" s="4" t="n">
        <v>7</v>
      </c>
      <c r="B11" s="5" t="inlineStr">
        <is>
          <t>NFR-PERF-007</t>
        </is>
      </c>
      <c r="C11" s="5" t="inlineStr">
        <is>
          <t>Performance</t>
        </is>
      </c>
      <c r="D11" s="5" t="inlineStr">
        <is>
          <t>JS/CSS ขนาด (gzip) ที่โหลดครั้งแรก</t>
        </is>
      </c>
      <c r="E11" s="5" t="inlineStr">
        <is>
          <t>≤ 250KB (ไม่รวม lazy-load)</t>
        </is>
      </c>
      <c r="F11" s="5" t="inlineStr">
        <is>
          <t>CI budget</t>
        </is>
      </c>
      <c r="G11" s="5" t="n"/>
    </row>
    <row r="12">
      <c r="A12" s="4" t="n">
        <v>8</v>
      </c>
      <c r="B12" s="5" t="inlineStr">
        <is>
          <t>NFR-PERF-008</t>
        </is>
      </c>
      <c r="C12" s="5" t="inlineStr">
        <is>
          <t>Performance</t>
        </is>
      </c>
      <c r="D12" s="5" t="inlineStr">
        <is>
          <t>Reindex หลัง publish</t>
        </is>
      </c>
      <c r="E12" s="5" t="inlineStr">
        <is>
          <t>≤ 10 นาที</t>
        </is>
      </c>
      <c r="F12" s="5" t="inlineStr">
        <is>
          <t>job metrics</t>
        </is>
      </c>
      <c r="G12" s="5" t="n"/>
    </row>
    <row r="13" ht="52.5">
      <c r="A13" s="4" t="n">
        <v>9</v>
      </c>
      <c r="B13" s="5" t="inlineStr">
        <is>
          <t>NFR-PERF-009</t>
        </is>
      </c>
      <c r="C13" s="5" t="inlineStr">
        <is>
          <t>Performance</t>
        </is>
      </c>
      <c r="D13" s="5" t="inlineStr">
        <is>
          <t>หน้า login/register/legal เรนเดอร์ฝั่ง server มี &lt;title&gt;/meta description ต่อหน้า, มี sitemap.xml + robots.txt; หน้าแชท/หลังบ้าน/แชร์ตั้ง noindex (หน้าคลังความรู้อยู่หลัง login จึงไม่ถูกจัดทำดัชนี)</t>
        </is>
      </c>
      <c r="E13" s="5" t="inlineStr">
        <is>
          <t>&lt;title&gt; ครบทุกหน้า, หน้าที่ต้อง noindex ไม่ปรากฏใน sitemap</t>
        </is>
      </c>
      <c r="F13" s="5" t="inlineStr">
        <is>
          <t>ตรวจใน web/tests/screens.mjs</t>
        </is>
      </c>
      <c r="G13" s="5" t="n"/>
    </row>
    <row r="14" ht="27.5">
      <c r="A14" s="4" t="n">
        <v>10</v>
      </c>
      <c r="B14" s="5" t="inlineStr">
        <is>
          <t>NFR-REL-001</t>
        </is>
      </c>
      <c r="C14" s="5" t="inlineStr">
        <is>
          <t>Reliability &amp; Availability</t>
        </is>
      </c>
      <c r="D14" s="5" t="inlineStr">
        <is>
          <t>Availability ของบริการเว็บ (ไม่รวม maintenance ที่แจ้งล่วงหน้า)</t>
        </is>
      </c>
      <c r="E14" s="5" t="inlineStr">
        <is>
          <t>99.5% ต่อเดือน</t>
        </is>
      </c>
      <c r="F14" s="5" t="n"/>
      <c r="G14" s="5" t="n"/>
    </row>
    <row r="15" ht="40">
      <c r="A15" s="4" t="n">
        <v>11</v>
      </c>
      <c r="B15" s="5" t="inlineStr">
        <is>
          <t>NFR-REL-002</t>
        </is>
      </c>
      <c r="C15" s="5" t="inlineStr">
        <is>
          <t>Reliability &amp; Availability</t>
        </is>
      </c>
      <c r="D15" s="5" t="inlineStr">
        <is>
          <t>Backup DB</t>
        </is>
      </c>
      <c r="E15" s="5" t="inlineStr">
        <is>
          <t>full รายวัน + WAL archiving; RPO ≤ 24 ชม.</t>
        </is>
      </c>
      <c r="F15" s="5" t="n"/>
      <c r="G15" s="5" t="inlineStr">
        <is>
          <t>ผลตรวจ 30 ก.ย. 2569: บางส่วน: backup รายวันเข้ารหัสด้วย scripts/backup.sh (RPO = ช่วงห่างของ backup); ยังไม่มี WAL archiving และยังไม่ได้ติดตั้ง timer (ต้อง sudo)</t>
        </is>
      </c>
    </row>
    <row r="16" ht="40">
      <c r="A16" s="4" t="n">
        <v>12</v>
      </c>
      <c r="B16" s="5" t="inlineStr">
        <is>
          <t>NFR-REL-003</t>
        </is>
      </c>
      <c r="C16" s="5" t="inlineStr">
        <is>
          <t>Reliability &amp; Availability</t>
        </is>
      </c>
      <c r="D16" s="5" t="inlineStr">
        <is>
          <t>Restore</t>
        </is>
      </c>
      <c r="E16" s="5" t="inlineStr">
        <is>
          <t>RTO ≤ 4 ชม.; ทดสอบ restore ทุกไตรมาส</t>
        </is>
      </c>
      <c r="F16" s="5" t="n"/>
      <c r="G16" s="5" t="inlineStr">
        <is>
          <t>ผลตรวจ 30 ก.ย. 2569: บางส่วน: scripts/restore-test.sh กู้ลงฐานข้อมูลชั่วคราวและตรวจได้ใน ~10 วินาที (ข้อมูลทดสอบเล็ก); ยังไม่ได้ซ้อมกู้บนเครื่องอื่นและยังไม่ได้วัด RTO จริง</t>
        </is>
      </c>
    </row>
    <row r="17" ht="40">
      <c r="A17" s="4" t="n">
        <v>13</v>
      </c>
      <c r="B17" s="5" t="inlineStr">
        <is>
          <t>NFR-REL-004</t>
        </is>
      </c>
      <c r="C17" s="5" t="inlineStr">
        <is>
          <t>Reliability &amp; Availability</t>
        </is>
      </c>
      <c r="D17" s="5" t="inlineStr">
        <is>
          <t>Graceful degradation</t>
        </is>
      </c>
      <c r="E17" s="5" t="inlineStr">
        <is>
          <t>เมื่อ AI service ไม่พร้อม: หน้าอ่านเนื้อหา (คลังความรู้/ตัวบท/คู่มือ) ยังใช้ได้, แชทแสดงข้อความ unavailable</t>
        </is>
      </c>
      <c r="F17" s="5" t="n"/>
      <c r="G17" s="5" t="n"/>
    </row>
    <row r="18" ht="40">
      <c r="A18" s="4" t="n">
        <v>14</v>
      </c>
      <c r="B18" s="5" t="inlineStr">
        <is>
          <t>NFR-REL-005</t>
        </is>
      </c>
      <c r="C18" s="5" t="inlineStr">
        <is>
          <t>Reliability &amp; Availability</t>
        </is>
      </c>
      <c r="D18" s="5" t="inlineStr">
        <is>
          <t>Job retry</t>
        </is>
      </c>
      <c r="E18" s="5" t="inlineStr">
        <is>
          <t>job ล้มเหลว retry แบบ exponential backoff สูงสุด 5 ครั้ง แล้วเข้า dead-letter + แจ้ง admin</t>
        </is>
      </c>
      <c r="F18" s="5" t="n"/>
      <c r="G18" s="5" t="n"/>
    </row>
    <row r="19" ht="40">
      <c r="A19" s="4" t="n">
        <v>15</v>
      </c>
      <c r="B19" s="5" t="inlineStr">
        <is>
          <t>NFR-SEC-001</t>
        </is>
      </c>
      <c r="C19" s="5" t="inlineStr">
        <is>
          <t>Security</t>
        </is>
      </c>
      <c r="D19" s="5" t="inlineStr">
        <is>
          <t>OWASP ASVS 4.0 Level 2 สำหรับ web tier; ผ่าน pentest ก่อนเปิด P1</t>
        </is>
      </c>
      <c r="E19" s="5" t="n"/>
      <c r="F19" s="5" t="n"/>
      <c r="G19" s="5" t="inlineStr">
        <is>
          <t>ผลตรวจ 30 ก.ย. 2569: บางส่วน: ตรวจภายใน (audit dependency, gitleaks, ZAP baseline, e2e สิทธิ์) — ยังไม่มี pentest โดยบุคคลที่สาม ซึ่งเกณฑ์กำหนดก่อนเปิด P1</t>
        </is>
      </c>
    </row>
    <row r="20" ht="27.5">
      <c r="A20" s="4" t="n">
        <v>16</v>
      </c>
      <c r="B20" s="5" t="inlineStr">
        <is>
          <t>NFR-SEC-002</t>
        </is>
      </c>
      <c r="C20" s="5" t="inlineStr">
        <is>
          <t>Security</t>
        </is>
      </c>
      <c r="D20" s="5" t="inlineStr">
        <is>
          <t>รหัสผ่านเก็บด้วย scrypt (ค่าเริ่มต้นของ Better Auth) ไม่เก็บรหัสผ่านเป็นข้อความธรรมดา</t>
        </is>
      </c>
      <c r="E20" s="5" t="n"/>
      <c r="F20" s="5" t="n"/>
      <c r="G20" s="5" t="n"/>
    </row>
    <row r="21" ht="65">
      <c r="A21" s="4" t="n">
        <v>17</v>
      </c>
      <c r="B21" s="5" t="inlineStr">
        <is>
          <t>NFR-SEC-003</t>
        </is>
      </c>
      <c r="C21" s="5" t="inlineStr">
        <is>
          <t>Security</t>
        </is>
      </c>
      <c r="D21" s="5" t="inlineStr">
        <is>
          <t>Session cookie lc.session_token (Better Auth, cookie prefix lc, DB session ใน Postgres) HttpOnly; Secure; SameSite=Lax, ออก session ใหม่เมื่อ login/เปลี่ยนสิทธิ์; CSRF: ตรวจ Origin + token X-CSRF-Token</t>
        </is>
      </c>
      <c r="E21" s="5" t="n"/>
      <c r="F21" s="5" t="n"/>
      <c r="G21" s="5" t="n"/>
    </row>
    <row r="22" ht="65">
      <c r="A22" s="4" t="n">
        <v>18</v>
      </c>
      <c r="B22" s="5" t="inlineStr">
        <is>
          <t>NFR-SEC-004</t>
        </is>
      </c>
      <c r="C22" s="5" t="inlineStr">
        <is>
          <t>Security</t>
        </is>
      </c>
      <c r="D22" s="5" t="inlineStr">
        <is>
          <t>Security headers: CSP (ไม่อนุญาต inline script ยกเว้น nonce/hash ที่กำหนด), HSTS, X-Content-Type-Options, X-Frame-Options SAMEORIGIN, Referrer-Policy, Permissions-Policy, COOP — อย่างน้อยเทียบเท่า AI-EDW</t>
        </is>
      </c>
      <c r="E22" s="5" t="n"/>
      <c r="F22" s="5" t="n"/>
      <c r="G22" s="5" t="n"/>
    </row>
    <row r="23" ht="27.5">
      <c r="A23" s="4" t="n">
        <v>19</v>
      </c>
      <c r="B23" s="5" t="inlineStr">
        <is>
          <t>NFR-SEC-005</t>
        </is>
      </c>
      <c r="C23" s="5" t="inlineStr">
        <is>
          <t>Security</t>
        </is>
      </c>
      <c r="D23" s="5" t="inlineStr">
        <is>
          <t>SQL: prepared statements เท่านั้น; ไม่มี dynamic SQL จาก input</t>
        </is>
      </c>
      <c r="E23" s="5" t="n"/>
      <c r="F23" s="5" t="n"/>
      <c r="G23" s="5" t="n"/>
    </row>
    <row r="24">
      <c r="A24" s="4" t="n">
        <v>20</v>
      </c>
      <c r="B24" s="5" t="inlineStr">
        <is>
          <t>NFR-SEC-006</t>
        </is>
      </c>
      <c r="C24" s="5" t="inlineStr">
        <is>
          <t>Security</t>
        </is>
      </c>
      <c r="D24" s="5" t="inlineStr">
        <is>
          <t>บัญชี editor/reviewer/admin ต้องเปิด TOTP 2FA</t>
        </is>
      </c>
      <c r="E24" s="5" t="n"/>
      <c r="F24" s="5" t="n"/>
      <c r="G24" s="5" t="n"/>
    </row>
    <row r="25" ht="52.5">
      <c r="A25" s="4" t="n">
        <v>21</v>
      </c>
      <c r="B25" s="5" t="inlineStr">
        <is>
          <t>NFR-SEC-007</t>
        </is>
      </c>
      <c r="C25" s="5" t="inlineStr">
        <is>
          <t>Security</t>
        </is>
      </c>
      <c r="D25" s="5" t="inlineStr">
        <is>
          <t>Rate limit: login 10/นาที/IP, API 120/นาที/ผู้ใช้, stream 3 พร้อมกัน/ผู้ใช้, share password 5 ครั้ง/15 นาที</t>
        </is>
      </c>
      <c r="E25" s="5" t="n"/>
      <c r="F25" s="5" t="n"/>
      <c r="G25" s="5" t="inlineStr">
        <is>
          <t>ผลตรวจ 30 ก.ย. 2569: ทำแล้ว: API 120/นาที/ผู้ใช้ (Redis), stream 3 พร้อมกัน, sign-in 10/นาที/IP, ล็อกรหัสผ่านลิงก์แชร์ต่อลิงก์ + เพิ่ม 20/นาที/IP; เพิ่มแชท 12/นาที (guest 6), อัปโหลด 6/นาที</t>
        </is>
      </c>
    </row>
    <row r="26" ht="40">
      <c r="A26" s="4" t="n">
        <v>22</v>
      </c>
      <c r="B26" s="5" t="inlineStr">
        <is>
          <t>NFR-SEC-008</t>
        </is>
      </c>
      <c r="C26" s="5" t="inlineStr">
        <is>
          <t>Security</t>
        </is>
      </c>
      <c r="D26" s="5" t="inlineStr">
        <is>
          <t>Secrets ใน env/secret store เท่านั้น (ไม่มีใน git — ตรวจด้วย gitleaks); คีย์ของ API ภายนอก (ฐานความรู้ของบริษัท) อยู่เฉพาะ AI service</t>
        </is>
      </c>
      <c r="E26" s="5" t="n"/>
      <c r="F26" s="5" t="n"/>
      <c r="G26" s="5" t="n"/>
    </row>
    <row r="27" ht="52.5">
      <c r="A27" s="4" t="n">
        <v>23</v>
      </c>
      <c r="B27" s="5" t="inlineStr">
        <is>
          <t>NFR-SEC-009</t>
        </is>
      </c>
      <c r="C27" s="5" t="inlineStr">
        <is>
          <t>Security</t>
        </is>
      </c>
      <c r="D27" s="5" t="inlineStr">
        <is>
          <t>Dependency scanning (pnpm audit, pip-audit) และ container scanning ใน CI; ไม่มีช่องโหว่ระดับ High/Critical ที่ยังไม่แก้ก่อน release</t>
        </is>
      </c>
      <c r="E27" s="5" t="n"/>
      <c r="F27" s="5" t="n"/>
      <c r="G27" s="5" t="inlineStr">
        <is>
          <t>ผลตรวจ 30 ก.ย. 2569: บางส่วน: pnpm audit (1 moderate ใน dev tooling), pip-audit (0), gitleaks (0) ผ่าน scripts/security-scan.sh; ยังไม่มี CI/container scanning</t>
        </is>
      </c>
    </row>
    <row r="28" ht="40">
      <c r="A28" s="4" t="n">
        <v>24</v>
      </c>
      <c r="B28" s="5" t="inlineStr">
        <is>
          <t>NFR-SEC-011</t>
        </is>
      </c>
      <c r="C28" s="5" t="inlineStr">
        <is>
          <t>Security</t>
        </is>
      </c>
      <c r="D28" s="5" t="inlineStr">
        <is>
          <t>ไฟล์อัปโหลด: ตรวจ MIME จริง (magic bytes), จำกัดขนาด, สแกนไวรัส, เก็บนอก web root, เสิร์ฟผ่าน signed URL</t>
        </is>
      </c>
      <c r="E28" s="5" t="n"/>
      <c r="F28" s="5" t="n"/>
      <c r="G28" s="5" t="n"/>
    </row>
    <row r="29" ht="65">
      <c r="A29" s="4" t="n">
        <v>25</v>
      </c>
      <c r="B29" s="5" t="inlineStr">
        <is>
          <t>NFR-SEC-012</t>
        </is>
      </c>
      <c r="C29" s="5" t="inlineStr">
        <is>
          <t>Security</t>
        </is>
      </c>
      <c r="D29" s="5" t="inlineStr">
        <is>
          <t>Tenant isolation: ทุกตารางที่เป็นขององค์กรมี org_id; ทุก query ผ่าน data-access layer ที่บังคับเงื่อนไข org_id + membership; ชุดทดสอบ cross-tenant อัตโนมัติผ่าน 100% ทุก PR; pentest ครอบคลุม IDOR ข้ามองค์กร</t>
        </is>
      </c>
      <c r="E29" s="5" t="n"/>
      <c r="F29" s="5" t="n"/>
      <c r="G29" s="5" t="n"/>
    </row>
    <row r="30" ht="52.5">
      <c r="A30" s="4" t="n">
        <v>26</v>
      </c>
      <c r="B30" s="5" t="inlineStr">
        <is>
          <t>NFR-PRIV-001</t>
        </is>
      </c>
      <c r="C30" s="5" t="inlineStr">
        <is>
          <t>Privacy (PDPA)</t>
        </is>
      </c>
      <c r="D30" s="5" t="inlineStr">
        <is>
          <t>มีประกาศความเป็นส่วนตัว (privacy notice) ภาษาไทย/อังกฤษ ระบุวัตถุประสงค์, ฐานทางกฎหมาย, ระยะเวลาเก็บ, ผู้รับข้อมูล (รวม API ฐานความรู้ของบริษัทเมื่อเปิดใช้), สิทธิเจ้าของข้อมูล, ช่องทางติดต่อ DPO</t>
        </is>
      </c>
      <c r="E30" s="5" t="n"/>
      <c r="F30" s="5" t="n"/>
      <c r="G30" s="5" t="n"/>
    </row>
    <row r="31" ht="27.5">
      <c r="A31" s="4" t="n">
        <v>27</v>
      </c>
      <c r="B31" s="5" t="inlineStr">
        <is>
          <t>NFR-PRIV-002</t>
        </is>
      </c>
      <c r="C31" s="5" t="inlineStr">
        <is>
          <t>Privacy (PDPA)</t>
        </is>
      </c>
      <c r="D31" s="5" t="inlineStr">
        <is>
          <t>Consent แยกวัตถุประสงค์และถอนได้ (FR-AUTH-009/010); บันทึกหลักฐาน consent</t>
        </is>
      </c>
      <c r="E31" s="5" t="n"/>
      <c r="F31" s="5" t="n"/>
      <c r="G31" s="5" t="n"/>
    </row>
    <row r="32" ht="40">
      <c r="A32" s="4" t="n">
        <v>28</v>
      </c>
      <c r="B32" s="5" t="inlineStr">
        <is>
          <t>NFR-PRIV-003</t>
        </is>
      </c>
      <c r="C32" s="5" t="inlineStr">
        <is>
          <t>Privacy (PDPA)</t>
        </is>
      </c>
      <c r="D32" s="5" t="inlineStr">
        <is>
          <t>ข้อมูลที่อาจเป็นข้อมูลอ่อนไหวที่ระบบเก็บ (ไฟล์สัญญาและข้อความที่สกัด — NFR-PRIV-009) เข้ารหัส (AES-256-GCM, envelope encryption, key แยกจาก DB)</t>
        </is>
      </c>
      <c r="E32" s="5" t="n"/>
      <c r="F32" s="5" t="n"/>
      <c r="G32" s="5" t="n"/>
    </row>
    <row r="33" ht="27.5">
      <c r="A33" s="4" t="n">
        <v>29</v>
      </c>
      <c r="B33" s="5" t="inlineStr">
        <is>
          <t>NFR-PRIV-004</t>
        </is>
      </c>
      <c r="C33" s="5" t="inlineStr">
        <is>
          <t>Privacy (PDPA)</t>
        </is>
      </c>
      <c r="D33" s="5" t="inlineStr">
        <is>
          <t>PII masking ก่อนค้นหา บันทึก และส่งไป API ภายนอก (FR-AI-012); ไม่ส่ง user id/อีเมลไปยัง API ภายนอก</t>
        </is>
      </c>
      <c r="E33" s="5" t="n"/>
      <c r="F33" s="5" t="n"/>
      <c r="G33" s="5" t="n"/>
    </row>
    <row r="34" ht="40">
      <c r="A34" s="4" t="n">
        <v>30</v>
      </c>
      <c r="B34" s="5" t="inlineStr">
        <is>
          <t>NFR-PRIV-005</t>
        </is>
      </c>
      <c r="C34" s="5" t="inlineStr">
        <is>
          <t>Privacy (PDPA)</t>
        </is>
      </c>
      <c r="D34" s="5" t="inlineStr">
        <is>
          <t>Data minimization: application log ไม่มีข้อความแชทดิบ/เนื้อหาคดี; analytics ใช้ข้อมูลแบบรวมหรือ pseudonymized</t>
        </is>
      </c>
      <c r="E34" s="5" t="n"/>
      <c r="F34" s="5" t="n"/>
      <c r="G34" s="5" t="n"/>
    </row>
    <row r="35" ht="40">
      <c r="A35" s="4" t="n">
        <v>31</v>
      </c>
      <c r="B35" s="5" t="inlineStr">
        <is>
          <t>NFR-PRIV-006</t>
        </is>
      </c>
      <c r="C35" s="5" t="inlineStr">
        <is>
          <t>Privacy (PDPA)</t>
        </is>
      </c>
      <c r="D35" s="5" t="inlineStr">
        <is>
          <t>สิทธิเจ้าของข้อมูล: เข้าถึง/ขอสำเนา (FR-AUTH-017), ลบ (FR-AUTH-018), แก้ไข (โปรไฟล์), คัดค้าน/ถอน consent — ดำเนินการภายใน 30 วัน</t>
        </is>
      </c>
      <c r="E35" s="5" t="n"/>
      <c r="F35" s="5" t="n"/>
      <c r="G35" s="5" t="n"/>
    </row>
    <row r="36" ht="27.5">
      <c r="A36" s="4" t="n">
        <v>32</v>
      </c>
      <c r="B36" s="5" t="inlineStr">
        <is>
          <t>NFR-PRIV-007</t>
        </is>
      </c>
      <c r="C36" s="5" t="inlineStr">
        <is>
          <t>Privacy (PDPA)</t>
        </is>
      </c>
      <c r="D36" s="5" t="inlineStr">
        <is>
          <t>Retention ตาม §6.2 และ job ลบอัตโนมัติที่ตรวจสอบได้ (log จำนวนที่ลบ)</t>
        </is>
      </c>
      <c r="E36" s="5" t="n"/>
      <c r="F36" s="5" t="n"/>
      <c r="G36" s="5" t="n"/>
    </row>
    <row r="37" ht="27.5">
      <c r="A37" s="4" t="n">
        <v>33</v>
      </c>
      <c r="B37" s="5" t="inlineStr">
        <is>
          <t>NFR-PRIV-008</t>
        </is>
      </c>
      <c r="C37" s="5" t="inlineStr">
        <is>
          <t>Privacy (PDPA)</t>
        </is>
      </c>
      <c r="D37" s="5" t="inlineStr">
        <is>
          <t>มี data breach runbook: แจ้ง สคส. ภายใน 72 ชม. ตามหลักเกณฑ์ PDPA (ดู 03-technical-spec.md §7)</t>
        </is>
      </c>
      <c r="E37" s="5" t="n"/>
      <c r="F37" s="5" t="n"/>
      <c r="G37" s="5" t="n"/>
    </row>
    <row r="38" ht="65">
      <c r="A38" s="4" t="n">
        <v>34</v>
      </c>
      <c r="B38" s="5" t="inlineStr">
        <is>
          <t>NFR-PRIV-009</t>
        </is>
      </c>
      <c r="C38" s="5" t="inlineStr">
        <is>
          <t>Privacy (PDPA)</t>
        </is>
      </c>
      <c r="D38" s="5" t="inlineStr">
        <is>
          <t>ข้อมูลสัญญาขององค์กร: ไฟล์และข้อความที่สกัดเข้ารหัส (AES-256-GCM) แยก key ต่อองค์กรได้; เก็บตาม retention ขององค์กร (BR-024); ไม่ใช้นอกวัตถุประสงค์ของบริการ (FR-CR-010); มี DPA (องค์กร = ผู้ควบคุมข้อมูล, ผู้ให้บริการ = ผู้ประมวลผล) ก่อนเริ่มใช้งาน</t>
        </is>
      </c>
      <c r="E38" s="5" t="n"/>
      <c r="F38" s="5" t="n"/>
      <c r="G38" s="5" t="n"/>
    </row>
    <row r="39">
      <c r="A39" s="4" t="n">
        <v>35</v>
      </c>
      <c r="B39" s="5" t="inlineStr">
        <is>
          <t>NFR-A11Y-001</t>
        </is>
      </c>
      <c r="C39" s="5" t="inlineStr">
        <is>
          <t>Accessibility</t>
        </is>
      </c>
      <c r="D39" s="5" t="inlineStr">
        <is>
          <t>สอดคล้อง WCAG 2.2 ระดับ AA ทุกหน้าผู้ใช้ปลายทาง</t>
        </is>
      </c>
      <c r="E39" s="5" t="n"/>
      <c r="F39" s="5" t="n"/>
      <c r="G39" s="5" t="n"/>
    </row>
    <row r="40" ht="40">
      <c r="A40" s="4" t="n">
        <v>36</v>
      </c>
      <c r="B40" s="5" t="inlineStr">
        <is>
          <t>NFR-A11Y-002</t>
        </is>
      </c>
      <c r="C40" s="5" t="inlineStr">
        <is>
          <t>Accessibility</t>
        </is>
      </c>
      <c r="D40" s="5" t="inlineStr">
        <is>
          <t>Contrast ข้อความปกติ ≥ 4.5:1, ข้อความใหญ่/ไอคอน ≥ 3:1 ทั้ง light และ dark</t>
        </is>
      </c>
      <c r="E40" s="5" t="n"/>
      <c r="F40" s="5" t="n"/>
      <c r="G40" s="5" t="inlineStr">
        <is>
          <t>ผลตรวจ 30 ก.ย. 2569: axe ไม่พบ contrast ผิดใน 124 ชุด (light/dark, ไทย/อังกฤษ, desktop/375px) หลังแก้ token</t>
        </is>
      </c>
    </row>
    <row r="41" ht="27.5">
      <c r="A41" s="4" t="n">
        <v>37</v>
      </c>
      <c r="B41" s="5" t="inlineStr">
        <is>
          <t>NFR-A11Y-003</t>
        </is>
      </c>
      <c r="C41" s="5" t="inlineStr">
        <is>
          <t>Accessibility</t>
        </is>
      </c>
      <c r="D41" s="5" t="inlineStr">
        <is>
          <t>ใช้งานด้วยคีย์บอร์ดได้ครบ, focus ring ชัดเจน, focus trap ใน modal/drawer, Esc ปิด</t>
        </is>
      </c>
      <c r="E41" s="5" t="n"/>
      <c r="F41" s="5" t="n"/>
      <c r="G41" s="5" t="n"/>
    </row>
    <row r="42" ht="40">
      <c r="A42" s="4" t="n">
        <v>38</v>
      </c>
      <c r="B42" s="5" t="inlineStr">
        <is>
          <t>NFR-A11Y-004</t>
        </is>
      </c>
      <c r="C42" s="5" t="inlineStr">
        <is>
          <t>Accessibility</t>
        </is>
      </c>
      <c r="D42" s="5" t="inlineStr">
        <is>
          <t>พื้นที่แชทเป็น role="log" aria-live="polite"; safety notice role="alert"; สถานะ stream ประกาศโดยไม่รบกวน (ไม่ประกาศทุก chunk)</t>
        </is>
      </c>
      <c r="E42" s="5" t="n"/>
      <c r="F42" s="5" t="n"/>
      <c r="G42" s="5" t="n"/>
    </row>
    <row r="43" ht="27.5">
      <c r="A43" s="4" t="n">
        <v>39</v>
      </c>
      <c r="B43" s="5" t="inlineStr">
        <is>
          <t>NFR-A11Y-005</t>
        </is>
      </c>
      <c r="C43" s="5" t="inlineStr">
        <is>
          <t>Accessibility</t>
        </is>
      </c>
      <c r="D43" s="5" t="inlineStr">
        <is>
          <t>Target size ≥ 24×24 CSS px (แนะนำ 44×44 บนมือถือ)</t>
        </is>
      </c>
      <c r="E43" s="5" t="n"/>
      <c r="F43" s="5" t="n"/>
      <c r="G43" s="5" t="n"/>
    </row>
    <row r="44" ht="27.5">
      <c r="A44" s="4" t="n">
        <v>40</v>
      </c>
      <c r="B44" s="5" t="inlineStr">
        <is>
          <t>NFR-A11Y-006</t>
        </is>
      </c>
      <c r="C44" s="5" t="inlineStr">
        <is>
          <t>Accessibility</t>
        </is>
      </c>
      <c r="D44" s="5" t="inlineStr">
        <is>
          <t>รองรับการขยายข้อความ 200% โดยไม่เสียการใช้งาน; ขนาดตัวอักษรเนื้อหาเริ่มต้น ≥ 16px</t>
        </is>
      </c>
      <c r="E44" s="5" t="n"/>
      <c r="F44" s="5" t="n"/>
      <c r="G44" s="5" t="n"/>
    </row>
    <row r="45">
      <c r="A45" s="4" t="n">
        <v>41</v>
      </c>
      <c r="B45" s="5" t="inlineStr">
        <is>
          <t>NFR-A11Y-007</t>
        </is>
      </c>
      <c r="C45" s="5" t="inlineStr">
        <is>
          <t>Accessibility</t>
        </is>
      </c>
      <c r="D45" s="5" t="inlineStr">
        <is>
          <t>prefers-reduced-motion ปิด animation ที่ไม่จำเป็น</t>
        </is>
      </c>
      <c r="E45" s="5" t="n"/>
      <c r="F45" s="5" t="n"/>
      <c r="G45" s="5" t="n"/>
    </row>
    <row r="46" ht="40">
      <c r="A46" s="4" t="n">
        <v>42</v>
      </c>
      <c r="B46" s="5" t="inlineStr">
        <is>
          <t>NFR-A11Y-008</t>
        </is>
      </c>
      <c r="C46" s="5" t="inlineStr">
        <is>
          <t>Accessibility</t>
        </is>
      </c>
      <c r="D46" s="5" t="inlineStr">
        <is>
          <t>ทดสอบด้วย axe-core ใน CI (0 violations ระดับ serious/critical) + ทดสอบ manual ด้วย NVDA/VoiceOver ก่อน release ใหญ่</t>
        </is>
      </c>
      <c r="E46" s="5" t="n"/>
      <c r="F46" s="5" t="n"/>
      <c r="G46" s="5" t="inlineStr">
        <is>
          <t>ผลตรวจ 30 ก.ย. 2569: axe ผ่าน (0 serious/critical) ด้วย scripts/e2e-a11y.sh — ยังไม่ได้รันใน CI (ไม่มี CI) และยังไม่ได้ทดสอบ screen reader</t>
        </is>
      </c>
    </row>
    <row r="47" ht="27.5">
      <c r="A47" s="4" t="n">
        <v>43</v>
      </c>
      <c r="B47" s="5" t="inlineStr">
        <is>
          <t>NFR-I18N-001</t>
        </is>
      </c>
      <c r="C47" s="5" t="inlineStr">
        <is>
          <t>Internationalization</t>
        </is>
      </c>
      <c r="D47" s="5" t="inlineStr">
        <is>
          <t>รองรับ th (ค่าเริ่มต้น) และ en ครบทุกข้อความ UI</t>
        </is>
      </c>
      <c r="E47" s="5" t="n"/>
      <c r="F47" s="5" t="n"/>
      <c r="G47" s="5" t="n"/>
    </row>
    <row r="48" ht="65">
      <c r="A48" s="4" t="n">
        <v>44</v>
      </c>
      <c r="B48" s="5" t="inlineStr">
        <is>
          <t>NFR-I18N-002</t>
        </is>
      </c>
      <c r="C48" s="5" t="inlineStr">
        <is>
          <t>Internationalization</t>
        </is>
      </c>
      <c r="D48" s="5" t="inlineStr">
        <is>
          <t>ข้อความ UI อยู่ใน web/messages/&lt;locale&gt;.json ใช้ผ่าน next-intl (Server และ Client Components); ชุดทดสอบ Vitest (web/tests/unit/i18n.test.ts) ตรวจว่า key ของ th/en ตรงกันและข้อความอังกฤษไม่มีอักษรไทย</t>
        </is>
      </c>
      <c r="E48" s="5" t="n"/>
      <c r="F48" s="5" t="n"/>
      <c r="G48" s="5" t="n"/>
    </row>
    <row r="49" ht="27.5">
      <c r="A49" s="4" t="n">
        <v>45</v>
      </c>
      <c r="B49" s="5" t="inlineStr">
        <is>
          <t>NFR-I18N-003</t>
        </is>
      </c>
      <c r="C49" s="5" t="inlineStr">
        <is>
          <t>Internationalization</t>
        </is>
      </c>
      <c r="D49" s="5" t="inlineStr">
        <is>
          <t>วันที่: เก็บ UTC, แสดงเขตเวลา Asia/Bangkok, locale th ใช้ปี พ.ศ. (เช่น "24 ก.ย. 2569")</t>
        </is>
      </c>
      <c r="E49" s="5" t="n"/>
      <c r="F49" s="5" t="n"/>
      <c r="G49" s="5" t="n"/>
    </row>
    <row r="50" ht="27.5">
      <c r="A50" s="4" t="n">
        <v>46</v>
      </c>
      <c r="B50" s="5" t="inlineStr">
        <is>
          <t>NFR-I18N-004</t>
        </is>
      </c>
      <c r="C50" s="5" t="inlineStr">
        <is>
          <t>Internationalization</t>
        </is>
      </c>
      <c r="D50" s="5" t="inlineStr">
        <is>
          <t>การเรียงลำดับข้อความไทยใช้ collation ไทย (ICU th-TH)</t>
        </is>
      </c>
      <c r="E50" s="5" t="n"/>
      <c r="F50" s="5" t="n"/>
      <c r="G50" s="5" t="n"/>
    </row>
    <row r="51" ht="27.5">
      <c r="A51" s="4" t="n">
        <v>47</v>
      </c>
      <c r="B51" s="5" t="inlineStr">
        <is>
          <t>NFR-I18N-005</t>
        </is>
      </c>
      <c r="C51" s="5" t="inlineStr">
        <is>
          <t>Internationalization</t>
        </is>
      </c>
      <c r="D51" s="5" t="inlineStr">
        <is>
          <t>รองรับ input เลขไทย (๐–๙) ในการค้นหาและฟอร์มตัวเลข</t>
        </is>
      </c>
      <c r="E51" s="5" t="n"/>
      <c r="F51" s="5" t="n"/>
      <c r="G51" s="5" t="n"/>
    </row>
    <row r="52" ht="27.5">
      <c r="A52" s="4" t="n">
        <v>48</v>
      </c>
      <c r="B52" s="5" t="inlineStr">
        <is>
          <t>NFR-I18N-006</t>
        </is>
      </c>
      <c r="C52" s="5" t="inlineStr">
        <is>
          <t>Internationalization</t>
        </is>
      </c>
      <c r="D52" s="5" t="inlineStr">
        <is>
          <t>เนื้อหาคลังความรู้ P1 เป็นภาษาไทย; เนื้อหาที่ไม่มีคำแปลแสดงภาษาไทยพร้อมป้าย "ยังไม่มีฉบับแปล"</t>
        </is>
      </c>
      <c r="E52" s="5" t="n"/>
      <c r="F52" s="5" t="n"/>
      <c r="G52" s="5" t="n"/>
    </row>
    <row r="53" ht="27.5">
      <c r="A53" s="4" t="n">
        <v>49</v>
      </c>
      <c r="B53" s="5" t="inlineStr">
        <is>
          <t>NFR-USAB-001</t>
        </is>
      </c>
      <c r="C53" s="5" t="inlineStr">
        <is>
          <t>Usability</t>
        </is>
      </c>
      <c r="D53" s="5" t="inlineStr">
        <is>
          <t>ผู้ใช้ใหม่ถามคำถามแรกได้ภายใน 30 วินาทีจากการเข้าเว็บ (guest, usability test ≥ 80% สำเร็จ)</t>
        </is>
      </c>
      <c r="E53" s="5" t="n"/>
      <c r="F53" s="5" t="n"/>
      <c r="G53" s="5" t="n"/>
    </row>
    <row r="54" ht="40">
      <c r="A54" s="4" t="n">
        <v>50</v>
      </c>
      <c r="B54" s="5" t="inlineStr">
        <is>
          <t>NFR-USAB-002</t>
        </is>
      </c>
      <c r="C54" s="5" t="inlineStr">
        <is>
          <t>Usability</t>
        </is>
      </c>
      <c r="D54" s="5" t="inlineStr">
        <is>
          <t>เนื้อหาระดับ "พื้นฐาน" ใช้ภาษาไทยง่าย: ประโยคสั้น, ศัพท์กฎหมายต้องอธิบายหรือมี tooltip; ตรวจโดย checklist ของ editor/reviewer</t>
        </is>
      </c>
      <c r="E54" s="5" t="n"/>
      <c r="F54" s="5" t="n"/>
      <c r="G54" s="5" t="n"/>
    </row>
    <row r="55" ht="40">
      <c r="A55" s="4" t="n">
        <v>51</v>
      </c>
      <c r="B55" s="5" t="inlineStr">
        <is>
          <t>NFR-USAB-003</t>
        </is>
      </c>
      <c r="C55" s="5" t="inlineStr">
        <is>
          <t>Usability</t>
        </is>
      </c>
      <c r="D55" s="5" t="inlineStr">
        <is>
          <t>ทุก flow หลัก (J1–J4 ใน blueprint) ผ่าน usability test กับผู้ใช้จริง ≥ 5 คน/flow ก่อนเปิด phase ที่เกี่ยวข้อง, SUS ≥ 70</t>
        </is>
      </c>
      <c r="E55" s="5" t="n"/>
      <c r="F55" s="5" t="n"/>
      <c r="G55" s="5" t="n"/>
    </row>
    <row r="56">
      <c r="A56" s="4" t="n">
        <v>52</v>
      </c>
      <c r="B56" s="5" t="inlineStr">
        <is>
          <t>NFR-USAB-004</t>
        </is>
      </c>
      <c r="C56" s="5" t="inlineStr">
        <is>
          <t>Usability</t>
        </is>
      </c>
      <c r="D56" s="5" t="inlineStr">
        <is>
          <t>ข้อความปุ่ม/เมนูเป็นคำกริยาที่ชัดเจน ไม่ใช้ศัพท์เทคนิค</t>
        </is>
      </c>
      <c r="E56" s="5" t="n"/>
      <c r="F56" s="5" t="n"/>
      <c r="G56" s="5" t="n"/>
    </row>
    <row r="57" ht="27.5">
      <c r="A57" s="4" t="n">
        <v>53</v>
      </c>
      <c r="B57" s="5" t="inlineStr">
        <is>
          <t>NFR-USAB-005</t>
        </is>
      </c>
      <c r="C57" s="5" t="inlineStr">
        <is>
          <t>Usability</t>
        </is>
      </c>
      <c r="D57" s="5" t="inlineStr">
        <is>
          <t>ไม่มีการกระทำที่ทำลายข้อมูลโดยไม่ confirm; การลบแชท โฟลเดอร์ สัญญา และบัญชีผ่าน dialog ยืนยัน</t>
        </is>
      </c>
      <c r="E57" s="5" t="n"/>
      <c r="F57" s="5" t="n"/>
      <c r="G57" s="5" t="n"/>
    </row>
    <row r="58" ht="40">
      <c r="A58" s="4" t="n">
        <v>54</v>
      </c>
      <c r="B58" s="5" t="inlineStr">
        <is>
          <t>NFR-OBS-001</t>
        </is>
      </c>
      <c r="C58" s="5" t="inlineStr">
        <is>
          <t>Observability</t>
        </is>
      </c>
      <c r="D58" s="5" t="inlineStr">
        <is>
          <t>Structured JSON logs ทุก service พร้อม request_id, user_id (pseudonymized), chat_id, latency, status — ไม่มีข้อความแชทดิบ/เนื้อหาคดี/PII</t>
        </is>
      </c>
      <c r="E58" s="5" t="n"/>
      <c r="F58" s="5" t="n"/>
      <c r="G58" s="5" t="n"/>
    </row>
    <row r="59" ht="52.5">
      <c r="A59" s="4" t="n">
        <v>55</v>
      </c>
      <c r="B59" s="5" t="inlineStr">
        <is>
          <t>NFR-OBS-002</t>
        </is>
      </c>
      <c r="C59" s="5" t="inlineStr">
        <is>
          <t>Observability</t>
        </is>
      </c>
      <c r="D59" s="5" t="inlineStr">
        <is>
          <t>Metrics (Prometheus) ของ web และ AI service: จำนวนและความหน่วงของคำขอ, อัตรา error, คำขอที่ถูกจำกัดด้วย rate limit/quota, สถานะ kill switch, หน่วยความจำ</t>
        </is>
      </c>
      <c r="E59" s="5" t="n"/>
      <c r="F59" s="5" t="n"/>
      <c r="G59" s="5" t="n"/>
    </row>
    <row r="60" ht="27.5">
      <c r="A60" s="4" t="n">
        <v>56</v>
      </c>
      <c r="B60" s="5" t="inlineStr">
        <is>
          <t>NFR-OBS-003</t>
        </is>
      </c>
      <c r="C60" s="5" t="inlineStr">
        <is>
          <t>Observability</t>
        </is>
      </c>
      <c r="D60" s="5" t="inlineStr">
        <is>
          <t>สืบย้อนคำขอ web → ai ด้วย X-Request-Id ที่อยู่ใน log ทุก service</t>
        </is>
      </c>
      <c r="E60" s="5" t="n"/>
      <c r="F60" s="5" t="n"/>
      <c r="G60" s="5" t="n"/>
    </row>
    <row r="61" ht="52.5">
      <c r="A61" s="4" t="n">
        <v>57</v>
      </c>
      <c r="B61" s="5" t="inlineStr">
        <is>
          <t>NFR-OBS-004</t>
        </is>
      </c>
      <c r="C61" s="5" t="inlineStr">
        <is>
          <t>Observability</t>
        </is>
      </c>
      <c r="D61" s="5" t="inlineStr">
        <is>
          <t>Alerting ตาม deploy/monitoring/alerts.yml: web/AI service ล่ม, API 5xx &gt; 5%, API p95 &gt; 2s, แชทถูกปฏิเสธด้วย rate limit/quota จำนวนมาก, kill switch เปิด, หน่วยความจำ web สูง, AI 5xx</t>
        </is>
      </c>
      <c r="E61" s="5" t="n"/>
      <c r="F61" s="5" t="n"/>
      <c r="G61" s="5" t="n"/>
    </row>
    <row r="62" ht="27.5">
      <c r="A62" s="4" t="n">
        <v>58</v>
      </c>
      <c r="B62" s="5" t="inlineStr">
        <is>
          <t>NFR-OBS-005</t>
        </is>
      </c>
      <c r="C62" s="5" t="inlineStr">
        <is>
          <t>Observability</t>
        </is>
      </c>
      <c r="D62" s="5" t="inlineStr">
        <is>
          <t>Log retention 30 วัน (app logs), 1 ปี (audit log)</t>
        </is>
      </c>
      <c r="E62" s="5" t="n"/>
      <c r="F62" s="5" t="n"/>
      <c r="G62" s="5" t="n"/>
    </row>
    <row r="63" ht="40">
      <c r="A63" s="4" t="n">
        <v>59</v>
      </c>
      <c r="B63" s="5" t="inlineStr">
        <is>
          <t>NFR-MAINT-001</t>
        </is>
      </c>
      <c r="C63" s="5" t="inlineStr">
        <is>
          <t>Maintainability</t>
        </is>
      </c>
      <c r="D63" s="5" t="inlineStr">
        <is>
          <t>Unit test coverage: TypeScript web/lib, web/app/api ≥ 70% (Vitest), Python ai/app/rag, guardrails ≥ 80%</t>
        </is>
      </c>
      <c r="E63" s="5" t="n"/>
      <c r="F63" s="5" t="n"/>
      <c r="G63" s="5" t="n"/>
    </row>
    <row r="64" ht="52.5">
      <c r="A64" s="4" t="n">
        <v>60</v>
      </c>
      <c r="B64" s="5" t="inlineStr">
        <is>
          <t>NFR-MAINT-002</t>
        </is>
      </c>
      <c r="C64" s="5" t="inlineStr">
        <is>
          <t>Maintainability</t>
        </is>
      </c>
      <c r="D64" s="5" t="inlineStr">
        <is>
          <t>Lint/format ผ่านใน CI: ESLint + Prettier + tsc --noEmit (strict); ruff + mypy; Drizzle schema ต้องตรงกับ SQL migrations (drizzle-kit pull ไม่มี diff)</t>
        </is>
      </c>
      <c r="E64" s="5" t="n"/>
      <c r="F64" s="5" t="n"/>
      <c r="G64" s="5" t="n"/>
    </row>
    <row r="65" ht="27.5">
      <c r="A65" s="4" t="n">
        <v>61</v>
      </c>
      <c r="B65" s="5" t="inlineStr">
        <is>
          <t>NFR-MAINT-003</t>
        </is>
      </c>
      <c r="C65" s="5" t="inlineStr">
        <is>
          <t>Maintainability</t>
        </is>
      </c>
      <c r="D65" s="5" t="inlineStr">
        <is>
          <t>DB migration แบบ forward-only, ตั้งชื่อ NNNN_description.sql, รันซ้ำได้อย่างปลอดภัย</t>
        </is>
      </c>
      <c r="E65" s="5" t="n"/>
      <c r="F65" s="5" t="n"/>
      <c r="G65" s="5" t="n"/>
    </row>
    <row r="66" ht="27.5">
      <c r="A66" s="4" t="n">
        <v>62</v>
      </c>
      <c r="B66" s="5" t="inlineStr">
        <is>
          <t>NFR-MAINT-004</t>
        </is>
      </c>
      <c r="C66" s="5" t="inlineStr">
        <is>
          <t>Maintainability</t>
        </is>
      </c>
      <c r="D66" s="5" t="inlineStr">
        <is>
          <t>เอกสาร docs/ อัปเดตใน PR เดียวกับการเปลี่ยนสเปก (Definition of Done)</t>
        </is>
      </c>
      <c r="E66" s="5" t="n"/>
      <c r="F66" s="5" t="n"/>
      <c r="G66" s="5" t="n"/>
    </row>
    <row r="67" ht="27.5">
      <c r="A67" s="4" t="n">
        <v>63</v>
      </c>
      <c r="B67" s="5" t="inlineStr">
        <is>
          <t>NFR-MAINT-005</t>
        </is>
      </c>
      <c r="C67" s="5" t="inlineStr">
        <is>
          <t>Maintainability</t>
        </is>
      </c>
      <c r="D67" s="5" t="inlineStr">
        <is>
          <t>Config ทั้งหมดผ่าน env (.env.example ครบทุกตัวแปรพร้อมคำอธิบาย)</t>
        </is>
      </c>
      <c r="E67" s="5" t="n"/>
      <c r="F67" s="5" t="n"/>
      <c r="G67" s="5" t="n"/>
    </row>
    <row r="68" ht="27.5">
      <c r="A68" s="4" t="n">
        <v>64</v>
      </c>
      <c r="B68" s="5" t="inlineStr">
        <is>
          <t>NFR-MAINT-006</t>
        </is>
      </c>
      <c r="C68" s="5" t="inlineStr">
        <is>
          <t>Maintainability</t>
        </is>
      </c>
      <c r="D68" s="5" t="inlineStr">
        <is>
          <t>ตัวเลข/กฎทางกฎหมายเป็นข้อมูล (data-driven) ไม่ hard-code ในโค้ด</t>
        </is>
      </c>
      <c r="E68" s="5" t="n"/>
      <c r="F68" s="5" t="n"/>
      <c r="G68" s="5" t="n"/>
    </row>
    <row r="69" ht="52.5">
      <c r="A69" s="4" t="n">
        <v>65</v>
      </c>
      <c r="B69" s="5" t="inlineStr">
        <is>
          <t>NFR-COST-003</t>
        </is>
      </c>
      <c r="C69" s="5" t="inlineStr">
        <is>
          <t>Cost / Quota</t>
        </is>
      </c>
      <c r="D69" s="5" t="inlineStr">
        <is>
          <t>Quota ต่อ role (BR-001), quota ต่อองค์กร (BR-023) และ rate limit (NFR-SEC-007); ผู้ดูแลระบบหยุดแชท/การอัปโหลดฉุกเฉินได้ด้วย kill switch (FR-ADM-024)</t>
        </is>
      </c>
      <c r="E69" s="5" t="n"/>
      <c r="F69" s="5" t="n"/>
      <c r="G69" s="5" t="n"/>
    </row>
    <row r="70" ht="27.5">
      <c r="A70" s="4" t="n">
        <v>66</v>
      </c>
      <c r="B70" s="5" t="inlineStr">
        <is>
          <t>NFR-LEGAL-001</t>
        </is>
      </c>
      <c r="C70" s="5" t="inlineStr">
        <is>
          <t>Legal Content Quality &amp; Compliance</t>
        </is>
      </c>
      <c r="D70" s="5" t="inlineStr">
        <is>
          <t>อัตราการอ้างมาตรา/กฎหมายที่ไม่มีจริงหรือไม่ตรงกับคลังความรู้ ในคำตอบที่ผู้ใช้เห็น</t>
        </is>
      </c>
      <c r="E70" s="5" t="inlineStr">
        <is>
          <t>≤ 0.5% (ชุดทดสอบ + สุ่มตรวจ production รายเดือน ≥ 200 คำตอบ)</t>
        </is>
      </c>
      <c r="F70" s="5" t="n"/>
      <c r="G70" s="5" t="n"/>
    </row>
    <row r="71" ht="27.5">
      <c r="A71" s="4" t="n">
        <v>67</v>
      </c>
      <c r="B71" s="5" t="inlineStr">
        <is>
          <t>NFR-LEGAL-002</t>
        </is>
      </c>
      <c r="C71" s="5" t="inlineStr">
        <is>
          <t>Legal Content Quality &amp; Compliance</t>
        </is>
      </c>
      <c r="D71" s="5" t="inlineStr">
        <is>
          <t>Citation accuracy</t>
        </is>
      </c>
      <c r="E71" s="5" t="inlineStr">
        <is>
          <t>≥ 95%</t>
        </is>
      </c>
      <c r="F71" s="5" t="n"/>
      <c r="G71" s="5" t="n"/>
    </row>
    <row r="72" ht="27.5">
      <c r="A72" s="4" t="n">
        <v>68</v>
      </c>
      <c r="B72" s="5" t="inlineStr">
        <is>
          <t>NFR-LEGAL-003</t>
        </is>
      </c>
      <c r="C72" s="5" t="inlineStr">
        <is>
          <t>Legal Content Quality &amp; Compliance</t>
        </is>
      </c>
      <c r="D72" s="5" t="inlineStr">
        <is>
          <t>Disclaimer แสดงในทุกคำตอบของแชท, ทุกเอกสารที่สร้าง, footer ทุกหน้า</t>
        </is>
      </c>
      <c r="E72" s="5" t="inlineStr">
        <is>
          <t>100%</t>
        </is>
      </c>
      <c r="F72" s="5" t="n"/>
      <c r="G72" s="5" t="n"/>
    </row>
    <row r="73" ht="27.5">
      <c r="A73" s="4" t="n">
        <v>69</v>
      </c>
      <c r="B73" s="5" t="inlineStr">
        <is>
          <t>NFR-LEGAL-004</t>
        </is>
      </c>
      <c r="C73" s="5" t="inlineStr">
        <is>
          <t>Legal Content Quality &amp; Compliance</t>
        </is>
      </c>
      <c r="D73" s="5" t="inlineStr">
        <is>
          <t>เนื้อหาที่ publish ผ่าน reviewer ที่ไม่ใช่ผู้เขียน</t>
        </is>
      </c>
      <c r="E73" s="5" t="inlineStr">
        <is>
          <t>100%</t>
        </is>
      </c>
      <c r="F73" s="5" t="n"/>
      <c r="G73" s="5" t="n"/>
    </row>
    <row r="74" ht="27.5">
      <c r="A74" s="4" t="n">
        <v>70</v>
      </c>
      <c r="B74" s="5" t="inlineStr">
        <is>
          <t>NFR-LEGAL-005</t>
        </is>
      </c>
      <c r="C74" s="5" t="inlineStr">
        <is>
          <t>Legal Content Quality &amp; Compliance</t>
        </is>
      </c>
      <c r="D74" s="5" t="inlineStr">
        <is>
          <t>รอบทบทวนเนื้อหา (BR-008); สัดส่วนเนื้อหาที่เลยรอบทบทวน</t>
        </is>
      </c>
      <c r="E74" s="5" t="inlineStr">
        <is>
          <t>≤ 5%</t>
        </is>
      </c>
      <c r="F74" s="5" t="n"/>
      <c r="G74" s="5" t="n"/>
    </row>
    <row r="75" ht="27.5">
      <c r="A75" s="4" t="n">
        <v>71</v>
      </c>
      <c r="B75" s="5" t="inlineStr">
        <is>
          <t>NFR-LEGAL-006</t>
        </is>
      </c>
      <c r="C75" s="5" t="inlineStr">
        <is>
          <t>Legal Content Quality &amp; Compliance</t>
        </is>
      </c>
      <c r="D75" s="5" t="inlineStr">
        <is>
          <t>ตัวบทใหม่/แก้ไขที่ประกาศในราชกิจจานุเบกษา (ในขอบเขตกฎหมายที่มีในคลังความรู้) ถูกนำเข้า</t>
        </is>
      </c>
      <c r="E75" s="5" t="inlineStr">
        <is>
          <t>ภายใน 14 วันหลังประกาศ</t>
        </is>
      </c>
      <c r="F75" s="5" t="n"/>
      <c r="G75" s="5" t="n"/>
    </row>
    <row r="76" ht="27.5">
      <c r="A76" s="4" t="n">
        <v>72</v>
      </c>
      <c r="B76" s="5" t="inlineStr">
        <is>
          <t>NFR-LEGAL-007</t>
        </is>
      </c>
      <c r="C76" s="5" t="inlineStr">
        <is>
          <t>Legal Content Quality &amp; Compliance</t>
        </is>
      </c>
      <c r="D76" s="5" t="inlineStr">
        <is>
          <t>ไม่มีฟีเจอร์ที่เป็นการว่าความ/ร่างคำคู่ความแทนผู้ใช้ (FR-TPL-009)</t>
        </is>
      </c>
      <c r="E76" s="5" t="inlineStr">
        <is>
          <t>ตรวจทุก release โดยที่ปรึกษากฎหมาย</t>
        </is>
      </c>
      <c r="F76" s="5" t="n"/>
      <c r="G76" s="5" t="n"/>
    </row>
    <row r="77" ht="40">
      <c r="A77" s="4" t="n">
        <v>73</v>
      </c>
      <c r="B77" s="5" t="inlineStr">
        <is>
          <t>NFR-LEGAL-008</t>
        </is>
      </c>
      <c r="C77" s="5" t="inlineStr">
        <is>
          <t>Legal Content Quality &amp; Compliance</t>
        </is>
      </c>
      <c r="D77" s="5" t="inlineStr">
        <is>
          <t>Safety triage recall (FR-AI-009)</t>
        </is>
      </c>
      <c r="E77" s="5" t="inlineStr">
        <is>
          <t>≥ 0.98 (เป้าหมาย 1.00; smoke set ต้อง = 1.00 — ตาม 03-technical-spec.md §4.1, §4.10)</t>
        </is>
      </c>
      <c r="F77" s="5" t="n"/>
      <c r="G77" s="5" t="n"/>
    </row>
    <row r="78"/>
    <row r="79"/>
    <row r="80"/>
    <row r="81"/>
  </sheetData>
  <autoFilter ref="A4:G77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0" zoomScale="90" zoomScaleNormal="90" workbookViewId="0">
      <pane ySplit="4" topLeftCell="A5" activePane="bottomLeft" state="frozen"/>
      <selection pane="bottomLeft" activeCell="A1" sqref="A1"/>
    </sheetView>
  </sheetViews>
  <sheetFormatPr baseColWidth="8" defaultColWidth="8.5703125" defaultRowHeight="15"/>
  <cols>
    <col width="7" customWidth="1" min="1" max="1"/>
    <col width="10" customWidth="1" min="2" max="2"/>
    <col width="120" customWidth="1" min="3" max="3"/>
  </cols>
  <sheetData>
    <row r="1" ht="18" customHeight="1">
      <c r="A1" s="1" t="inlineStr">
        <is>
          <t>กฎธุรกิจ</t>
        </is>
      </c>
    </row>
    <row r="2">
      <c r="A2" s="2" t="inlineStr">
        <is>
          <t>23 ข้อ · ที่มา docs/02-srs.md §7 ฉบับ 1.8 (1 ต.ค. 2569)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กฎ</t>
        </is>
      </c>
    </row>
    <row r="5" ht="40">
      <c r="A5" s="4" t="n">
        <v>1</v>
      </c>
      <c r="B5" s="5" t="inlineStr">
        <is>
          <t>BR-001</t>
        </is>
      </c>
      <c r="C5" s="5" t="inlineStr">
        <is>
          <t>Quota ข้อความแชทต่อวัน (ตั้งด้วย env GUEST_DAILY_MESSAGES / MEMBER_DAILY_MESSAGES; staff คงที่ 300; นับใน app.usage_counters): guest 10, member 100, editor/reviewer/admin 300; รีเซ็ต 00:00 Asia/Bangkok; regenerate นับ 1; ข้อความที่ล้มเหลวจากฝั่งระบบไม่นับ</t>
        </is>
      </c>
    </row>
    <row r="6">
      <c r="A6" s="4" t="n">
        <v>2</v>
      </c>
      <c r="B6" s="5" t="inlineStr">
        <is>
          <t>BR-002</t>
        </is>
      </c>
      <c r="C6" s="5" t="inlineStr">
        <is>
          <t>ความยาวข้อความผู้ใช้สูงสุด 4,000 อักษร</t>
        </is>
      </c>
    </row>
    <row r="7">
      <c r="A7" s="4" t="n">
        <v>3</v>
      </c>
      <c r="B7" s="5" t="inlineStr">
        <is>
          <t>BR-003</t>
        </is>
      </c>
      <c r="C7" s="5" t="inlineStr">
        <is>
          <t>แชทของ guest ถูกลบถาวรเมื่อไม่มีการใช้งาน 24 ชม.</t>
        </is>
      </c>
    </row>
    <row r="8">
      <c r="A8" s="4" t="n">
        <v>4</v>
      </c>
      <c r="B8" s="5" t="inlineStr">
        <is>
          <t>BR-004</t>
        </is>
      </c>
      <c r="C8" s="5" t="inlineStr">
        <is>
          <t>ลิงก์แชร์: หมดอายุค่าเริ่มต้น 30 วัน, สูงสุด 365 วัน; รหัสผ่านไม่บังคับ (ถ้าตั้ง ≥ 6 อักษร); ผู้ใช้ 1 คนมีลิงก์ active ได้ ≤ 50</t>
        </is>
      </c>
    </row>
    <row r="9" ht="27.5">
      <c r="A9" s="4" t="n">
        <v>5</v>
      </c>
      <c r="B9" s="5" t="inlineStr">
        <is>
          <t>BR-005</t>
        </is>
      </c>
      <c r="C9" s="5" t="inlineStr">
        <is>
          <t>Disclaimer: (ก) footer ทุกหน้า (ข) ท้ายทุกคำตอบเชิงกฎหมาย (ค) ทุกเอกสารที่สร้าง — ข้อความมาตรฐานมาจาก i18n และแก้ได้เฉพาะ admin + reviewer</t>
        </is>
      </c>
    </row>
    <row r="10" ht="52.5">
      <c r="A10" s="4" t="n">
        <v>6</v>
      </c>
      <c r="B10" s="5" t="inlineStr">
        <is>
          <t>BR-006</t>
        </is>
      </c>
      <c r="C10" s="5" t="inlineStr">
        <is>
          <t>Safety escalation categories (ตาม 03-technical-spec.md §0.2): domestic_violence (รวมความรุนแรงทางเพศ), child_abuse (รวมการค้ามนุษย์ที่เกี่ยวกับเด็ก), self_harm, threat_violence (ถูกขู่/อันตรายต่อชีวิต รวมการค้ามนุษย์), arrest_detention, scam_in_progress (กำลังถูกหลอกโอนเงิน), deadline_imminent (เรื่องที่มีกำหนดเวลาใกล้ถึง เช่น วันนัดศาล หมายเรียก อายุความ) — ระดับ urgent หรือ caution; จัดระดับด้วยชุดคำสำคัญ และหมายเลขติดต่อต้องมาจากข้อมูลที่ตรวจยืนยันแล้วเท่านั้น (ปัจจุบันยังไม่มี)</t>
        </is>
      </c>
    </row>
    <row r="11" ht="40">
      <c r="A11" s="4" t="n">
        <v>7</v>
      </c>
      <c r="B11" s="5" t="inlineStr">
        <is>
          <t>BR-007</t>
        </is>
      </c>
      <c r="C11" s="5" t="inlineStr">
        <is>
          <t>Content lifecycle: draft → in_review → published → archived; การตีกลับ = review action requested_changes → กลับเป็น draft แล้วส่ง in_review ใหม่ได้ (วนได้หลายรอบ); ผู้อนุมัติ ≠ ผู้ส่งเข้าตรวจล่าสุด; published แก้ตรงไม่ได้ (สร้าง draft เวอร์ชันใหม่)</t>
        </is>
      </c>
    </row>
    <row r="12" ht="27.5">
      <c r="A12" s="4" t="n">
        <v>8</v>
      </c>
      <c r="B12" s="5" t="inlineStr">
        <is>
          <t>BR-008</t>
        </is>
      </c>
      <c r="C12" s="5" t="inlineStr">
        <is>
          <t>รอบทบทวน (review_due_at): เนื้อหา (บทความ/คู่มือ/แบบหนังสือ) ที่อ้างมาตราซึ่งถูกแก้ไขต้องถูกตั้ง review_due_at ทันทีเมื่อตัวบทฉบับใหม่ได้รับอนุมัติ (FR-ADM-009)</t>
        </is>
      </c>
    </row>
    <row r="13" ht="27.5">
      <c r="A13" s="4" t="n">
        <v>9</v>
      </c>
      <c r="B13" s="5" t="inlineStr">
        <is>
          <t>BR-009</t>
        </is>
      </c>
      <c r="C13" s="5" t="inlineStr">
        <is>
          <t>การเลือกเวอร์ชันตัวบท: ใช้เวอร์ชันที่ effective_from ≤ วันที่อ้างอิง (as_of, ค่าเริ่มต้น = วันนี้) &lt; effective_to; ห้ามลบเวอร์ชันเก่า ให้ปิดวันแทน</t>
        </is>
      </c>
    </row>
    <row r="14" ht="27.5">
      <c r="A14" s="4" t="n">
        <v>10</v>
      </c>
      <c r="B14" s="5" t="inlineStr">
        <is>
          <t>BR-010</t>
        </is>
      </c>
      <c r="C14" s="5" t="inlineStr">
        <is>
          <t>Citation อ้างได้เฉพาะ: มาตราในตัวบทที่มีในคลัง และบทความ/คู่มือ/คำศัพท์ในคลัง (published; ฉบับร่างเฉพาะระบบทดสอบและติดป้ายฉบับร่าง)</t>
        </is>
      </c>
    </row>
    <row r="15">
      <c r="A15" s="4" t="n">
        <v>11</v>
      </c>
      <c r="B15" s="5" t="inlineStr">
        <is>
          <t>BR-012</t>
        </is>
      </c>
      <c r="C15" s="5" t="inlineStr">
        <is>
          <t>ลบบัญชี: pending_deletion 30 วัน (login เพื่อยกเลิกได้) → ลบถาวร; audit log เก็บแบบ pseudonymized จนครบ 1 ปี</t>
        </is>
      </c>
    </row>
    <row r="16" ht="27.5">
      <c r="A16" s="4" t="n">
        <v>12</v>
      </c>
      <c r="B16" s="5" t="inlineStr">
        <is>
          <t>BR-013</t>
        </is>
      </c>
      <c r="C16" s="5" t="inlineStr">
        <is>
          <t>ชื่อแชท: ตั้งอัตโนมัติ 1 ครั้งหลังคำตอบแรก, ≤ 60 อักษร, ไม่มี PII; ถ้าผู้ใช้เปลี่ยนชื่อเอง ตั้ง app.chats.title_source = 'user' และระบบจะไม่เขียนทับ</t>
        </is>
      </c>
    </row>
    <row r="17" ht="27.5">
      <c r="A17" s="4" t="n">
        <v>13</v>
      </c>
      <c r="B17" s="5" t="inlineStr">
        <is>
          <t>BR-014</t>
        </is>
      </c>
      <c r="C17" s="5" t="inlineStr">
        <is>
          <t>เหตุผล 👎 (enum app.feedback_reason): incorrect (ข้อมูลผิด), incomplete (ไม่ครบ), hard_to_understand (เข้าใจยาก), off_topic (ไม่ตรงคำถาม), outdated (ล้าสมัย), missing_citation (ไม่มี/อ้างอิงไม่ตรง), unsafe (ไม่ปลอดภัย/ไม่เหมาะสม), other</t>
        </is>
      </c>
    </row>
    <row r="18">
      <c r="A18" s="4" t="n">
        <v>14</v>
      </c>
      <c r="B18" s="5" t="inlineStr">
        <is>
          <t>BR-016</t>
        </is>
      </c>
      <c r="C18" s="5" t="inlineStr">
        <is>
          <t>รหัสผ่าน ≥ 10 อักษร; login ผิด 5 ครั้งใน 15 นาที → ล็อก 15 นาที (LOCKOUT_MAX_FAILURES, LOCKOUT_MINUTES)</t>
        </is>
      </c>
    </row>
    <row r="19" ht="27.5">
      <c r="A19" s="4" t="n">
        <v>15</v>
      </c>
      <c r="B19" s="5" t="inlineStr">
        <is>
          <t>BR-017</t>
        </is>
      </c>
      <c r="C19" s="5" t="inlineStr">
        <is>
          <t>Session idle timeout 60 นาที (SESSION_LIFETIME_MIN, นับถอยหลังที่ footer); "จดจำฉัน" 30 วัน (SESSION_REMEMBER_DAYS) — ไม่ใช้กับ role editor/reviewer/admin (session หมดเมื่อปิดเบราว์เซอร์)</t>
        </is>
      </c>
    </row>
    <row r="20" ht="27.5">
      <c r="A20" s="4" t="n">
        <v>16</v>
      </c>
      <c r="B20" s="5" t="inlineStr">
        <is>
          <t>BR-020</t>
        </is>
      </c>
      <c r="C20" s="5" t="inlineStr">
        <is>
          <t>ตัวเลขทางกฎหมาย (ค่าธรรมเนียม, เกณฑ์ทุนทรัพย์, อายุความ, อัตราดอกเบี้ย, อัตราโทษ, ระยะเวลาตามกฎหมาย) ต้องมาจากเนื้อหาในคลังความรู้พร้อม citation และ as-of date เท่านั้น — ระบบห้ามสร้างตัวเลขเหล่านี้เอง</t>
        </is>
      </c>
    </row>
    <row r="21">
      <c r="A21" s="4" t="n">
        <v>17</v>
      </c>
      <c r="B21" s="5" t="inlineStr">
        <is>
          <t>BR-021</t>
        </is>
      </c>
      <c r="C21" s="5" t="inlineStr">
        <is>
          <t>Stream พร้อมกันต่อผู้ใช้ ≤ 3 (รวม guest)</t>
        </is>
      </c>
    </row>
    <row r="22">
      <c r="A22" s="4" t="n">
        <v>18</v>
      </c>
      <c r="B22" s="5" t="inlineStr">
        <is>
          <t>BR-022</t>
        </is>
      </c>
      <c r="C22" s="5" t="inlineStr">
        <is>
          <t>Next-step card ต้องชี้ไปเนื้อหาที่มีอยู่ในคลังเท่านั้น; หมายเลขติดต่อใน safety notice ต้องมาจากข้อมูลที่ตรวจยืนยันแล้ว</t>
        </is>
      </c>
    </row>
    <row r="23" ht="27.5">
      <c r="A23" s="4" t="n">
        <v>19</v>
      </c>
      <c r="B23" s="5" t="inlineStr">
        <is>
          <t>BR-023</t>
        </is>
      </c>
      <c r="C23" s="5" t="inlineStr">
        <is>
          <t>Quota องค์กร (ค่าเริ่มต้นช่วง pilot): แชท 300 ข้อความ/สมาชิก/วัน, สมาชิก ≤ 20 คน/องค์กร (รวมคำเชิญที่ค้าง) — admin override ได้ใน app.org_settings; นับใน app.usage_counters (มี org_id)</t>
        </is>
      </c>
    </row>
    <row r="24" ht="27.5">
      <c r="A24" s="4" t="n">
        <v>20</v>
      </c>
      <c r="B24" s="5" t="inlineStr">
        <is>
          <t>BR-024</t>
        </is>
      </c>
      <c r="C24" s="5" t="inlineStr">
        <is>
          <t>Retention สัญญา: ค่าเริ่มต้น 180 วันหลังอัปโหลด (ตั้งได้ 30/90/180/365 วัน หรือจนกว่าจะลบ); ลบองค์กร → ลบข้อมูลองค์กรทั้งหมดภายใน 30 วัน</t>
        </is>
      </c>
    </row>
    <row r="25">
      <c r="A25" s="4" t="n">
        <v>21</v>
      </c>
      <c r="B25" s="5" t="inlineStr">
        <is>
          <t>BR-025</t>
        </is>
      </c>
      <c r="C25" s="5" t="inlineStr">
        <is>
          <t>ขีดจำกัดสัญญา: PDF/DOCX เท่านั้น, ≤ 20 MB, ≤ 50 หน้า; ไม่รองรับไฟล์สแกนเป็นภาพ</t>
        </is>
      </c>
    </row>
    <row r="26" ht="27.5">
      <c r="A26" s="4" t="n">
        <v>22</v>
      </c>
      <c r="B26" s="5" t="inlineStr">
        <is>
          <t>BR-026</t>
        </is>
      </c>
      <c r="C26" s="5" t="inlineStr">
        <is>
          <t>เมื่อสมาชิกออกจากองค์กร: ข้อมูลที่สร้างในบริบทองค์กรเป็นขององค์กร — โอนความเป็นเจ้าของให้ org_owner; ข้อมูลในพื้นที่ส่วนตัวยังเป็นของผู้ใช้</t>
        </is>
      </c>
    </row>
    <row r="27" ht="27.5">
      <c r="A27" s="4" t="n">
        <v>23</v>
      </c>
      <c r="B27" s="5" t="inlineStr">
        <is>
          <t>BR-027</t>
        </is>
      </c>
      <c r="C27" s="5" t="inlineStr">
        <is>
          <t>ข้อความในระบบห้ามอ้างว่าเนื้อหา/ผลตรวจผ่านการตรวจหรือรับรองโดยบุคคลหรือหน่วยงานใด เว้นแต่มีบันทึกการ approve จริงใน kb.content_reviews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tabSelected="0" zoomScale="90" zoomScaleNormal="90" workbookViewId="0">
      <pane ySplit="4" topLeftCell="A5" activePane="bottomLeft" state="frozen"/>
      <selection pane="bottomLeft" activeCell="A1" sqref="A1"/>
    </sheetView>
  </sheetViews>
  <sheetFormatPr baseColWidth="8" defaultColWidth="8.5703125" defaultRowHeight="15" customHeight="0"/>
  <cols>
    <col width="7" customWidth="1" min="1" max="1"/>
    <col width="14" customWidth="1" min="2" max="2"/>
    <col width="8" customWidth="1" min="3" max="3"/>
    <col width="24" customWidth="1" min="4" max="4"/>
    <col width="32" customWidth="1" min="5" max="5"/>
    <col width="70" customWidth="1" min="6" max="6"/>
    <col width="14" customWidth="1" min="7" max="7"/>
    <col width="7" customWidth="1" min="8" max="8"/>
  </cols>
  <sheetData>
    <row r="1" ht="18" customHeight="1">
      <c r="A1" s="1" t="inlineStr">
        <is>
          <t>ฟีเจอร์ที่ไม่อยู่ใน MVP (เฟส 2–3)</t>
        </is>
      </c>
    </row>
    <row r="2">
      <c r="A2" s="2" t="inlineStr">
        <is>
          <t>50 ฟีเจอร์ · ไว้ดูขอบเขต ยังไม่ต้องทำในรอบนี้ · ไม่อยู่ใน docs/02-srs.md ฉบับ 1.8 (ฟีเจอร์ที่เคยอยู่ใน MVP แล้วถูกตัดออกย้ายมาไว้ที่นี่ เฟส P2)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โมดูล</t>
        </is>
      </c>
      <c r="D4" s="3" t="inlineStr">
        <is>
          <t>ชื่อโมดูล</t>
        </is>
      </c>
      <c r="E4" s="3" t="inlineStr">
        <is>
          <t>ฟีเจอร์</t>
        </is>
      </c>
      <c r="F4" s="3" t="inlineStr">
        <is>
          <t>รายละเอียด</t>
        </is>
      </c>
      <c r="G4" s="3" t="inlineStr">
        <is>
          <t>ความสำคัญ</t>
        </is>
      </c>
      <c r="H4" s="3" t="inlineStr">
        <is>
          <t>เฟส</t>
        </is>
      </c>
    </row>
    <row r="5" ht="27.5">
      <c r="A5" s="4" t="n">
        <v>1</v>
      </c>
      <c r="B5" s="5" t="inlineStr">
        <is>
          <t>FR-AUTH-020</t>
        </is>
      </c>
      <c r="C5" s="4" t="inlineStr">
        <is>
          <t>M1</t>
        </is>
      </c>
      <c r="D5" s="5" t="inlineStr">
        <is>
          <t>บัญชีผู้ใช้และการเข้าถึง</t>
        </is>
      </c>
      <c r="E5" s="5" t="inlineStr">
        <is>
          <t>เข้าสู่ระบบด้วย Google / LINE</t>
        </is>
      </c>
      <c r="F5" s="5" t="inlineStr">
        <is>
          <t>ระบบควรรองรับ OAuth 2.0 / OpenID Connect กับ Google และ LINE Login; ผูกกับบัญชีอีเมลเดิมได้หลังยืนยัน</t>
        </is>
      </c>
      <c r="G5" s="5" t="inlineStr">
        <is>
          <t>Should (ควรมี)</t>
        </is>
      </c>
      <c r="H5" s="4" t="inlineStr">
        <is>
          <t>P2</t>
        </is>
      </c>
    </row>
    <row r="6" ht="27.5">
      <c r="A6" s="4" t="n">
        <v>2</v>
      </c>
      <c r="B6" s="5" t="inlineStr">
        <is>
          <t>FR-CHAT-024</t>
        </is>
      </c>
      <c r="C6" s="4" t="inlineStr">
        <is>
          <t>M2</t>
        </is>
      </c>
      <c r="D6" s="5" t="inlineStr">
        <is>
          <t>แชทถามกฎหมาย (หน้าจอและการใช้งาน)</t>
        </is>
      </c>
      <c r="E6" s="5" t="inlineStr">
        <is>
          <t>ลากจัดลำดับ/ย้ายเข้าโฟลเดอร์</t>
        </is>
      </c>
      <c r="F6" s="5" t="inlineStr">
        <is>
          <t>ระบบต้องให้ลากแชทเพื่อจัดลำดับหรือวางลงโฟลเดอร์ (desktop) และมีเมนู "ย้ายไปโฟลเดอร์…" สำหรับมือถือ/คีย์บอร์ด</t>
        </is>
      </c>
      <c r="G6" s="5" t="inlineStr">
        <is>
          <t>Could (อาจมี)</t>
        </is>
      </c>
      <c r="H6" s="4" t="inlineStr">
        <is>
          <t>P2</t>
        </is>
      </c>
    </row>
    <row r="7" ht="52.5">
      <c r="A7" s="4" t="n">
        <v>3</v>
      </c>
      <c r="B7" s="5" t="inlineStr">
        <is>
          <t>FR-CHAT-033</t>
        </is>
      </c>
      <c r="C7" s="4" t="inlineStr">
        <is>
          <t>M2</t>
        </is>
      </c>
      <c r="D7" s="5" t="inlineStr">
        <is>
          <t>แชทถามกฎหมาย (หน้าจอและการใช้งาน)</t>
        </is>
      </c>
      <c r="E7" s="5" t="inlineStr">
        <is>
          <t>แนบไฟล์ในแชท</t>
        </is>
      </c>
      <c r="F7" s="5" t="inlineStr">
        <is>
          <t>ระบบควรให้แนบรูป (jpg/png/webp) หรือ PDF ในแชทผ่านปุ่มแนบหรือ drag &amp; drop เพื่อให้ระบบอ่านเอกสาร (เช่น สัญญา, หมายศาล, ใบสั่ง) ประกอบการค้นข้อมูลที่เกี่ยวข้อง โดยต้องมี consent ข้อมูลอ่อนไหวและแสดงคำเตือนข้อมูลส่วนบุคคลก่อนส่ง (การอัปโหลดสัญญาขององค์กรมีแล้วใน M12)</t>
        </is>
      </c>
      <c r="G7" s="5" t="inlineStr">
        <is>
          <t>Should (ควรมี)</t>
        </is>
      </c>
      <c r="H7" s="4" t="inlineStr">
        <is>
          <t>P2</t>
        </is>
      </c>
    </row>
    <row r="8" ht="27.5">
      <c r="A8" s="4" t="n">
        <v>4</v>
      </c>
      <c r="B8" s="5" t="inlineStr">
        <is>
          <t>FR-CHAT-035</t>
        </is>
      </c>
      <c r="C8" s="4" t="inlineStr">
        <is>
          <t>M2</t>
        </is>
      </c>
      <c r="D8" s="5" t="inlineStr">
        <is>
          <t>แชทถามกฎหมาย (หน้าจอและการใช้งาน)</t>
        </is>
      </c>
      <c r="E8" s="5" t="inlineStr">
        <is>
          <t>อ่านออกเสียงคำตอบ</t>
        </is>
      </c>
      <c r="F8" s="5" t="inlineStr">
        <is>
          <t>ระบบอาจมีปุ่มอ่านออกเสียงคำตอบด้วย Web Speech API (ภาษาไทย) โดยข้าม citation markers</t>
        </is>
      </c>
      <c r="G8" s="5" t="inlineStr">
        <is>
          <t>Could (อาจมี)</t>
        </is>
      </c>
      <c r="H8" s="4" t="inlineStr">
        <is>
          <t>P2</t>
        </is>
      </c>
    </row>
    <row r="9" ht="27.5">
      <c r="A9" s="4" t="n">
        <v>5</v>
      </c>
      <c r="B9" s="5" t="inlineStr">
        <is>
          <t>FR-KB-004</t>
        </is>
      </c>
      <c r="C9" s="4" t="inlineStr">
        <is>
          <t>M3</t>
        </is>
      </c>
      <c r="D9" s="5" t="inlineStr">
        <is>
          <t>คลังความรู้</t>
        </is>
      </c>
      <c r="E9" s="5" t="inlineStr">
        <is>
          <t>สลับระดับเนื้อหา</t>
        </is>
      </c>
      <c r="F9" s="5" t="inlineStr">
        <is>
          <t>เมื่อบทความมีหลายระดับของหัวข้อเดียวกัน (group เดียวกัน) ระบบควรมีตัวสลับ "อ่านแบบง่าย / แบบปฏิบัติ / แบบเชิงลึก"</t>
        </is>
      </c>
      <c r="G9" s="5" t="inlineStr">
        <is>
          <t>Should (ควรมี)</t>
        </is>
      </c>
      <c r="H9" s="4" t="inlineStr">
        <is>
          <t>P2</t>
        </is>
      </c>
    </row>
    <row r="10" ht="27.5">
      <c r="A10" s="4" t="n">
        <v>6</v>
      </c>
      <c r="B10" s="5" t="inlineStr">
        <is>
          <t>FR-KB-007</t>
        </is>
      </c>
      <c r="C10" s="4" t="inlineStr">
        <is>
          <t>M3</t>
        </is>
      </c>
      <c r="D10" s="5" t="inlineStr">
        <is>
          <t>คลังความรู้</t>
        </is>
      </c>
      <c r="E10" s="5" t="inlineStr">
        <is>
          <t>ประวัติเวอร์ชันและดู ณ วันที่</t>
        </is>
      </c>
      <c r="F10" s="5" t="inlineStr">
        <is>
          <t>ระบบต้องแสดงประวัติการแก้ไขของแต่ละมาตรา (เวอร์ชัน, effective_from/to, กฎหมายที่แก้ไข) และให้ดูตัวบท "ณ วันที่" ที่เลือก พร้อม diff ระหว่างเวอร์ชัน</t>
        </is>
      </c>
      <c r="G10" s="5" t="inlineStr">
        <is>
          <t>Should (ควรมี)</t>
        </is>
      </c>
      <c r="H10" s="4" t="inlineStr">
        <is>
          <t>P2</t>
        </is>
      </c>
    </row>
    <row r="11" ht="40">
      <c r="A11" s="4" t="n">
        <v>7</v>
      </c>
      <c r="B11" s="5" t="inlineStr">
        <is>
          <t>FR-KB-012</t>
        </is>
      </c>
      <c r="C11" s="4" t="inlineStr">
        <is>
          <t>M3</t>
        </is>
      </c>
      <c r="D11" s="5" t="inlineStr">
        <is>
          <t>คลังความรู้</t>
        </is>
      </c>
      <c r="E11" s="5" t="inlineStr">
        <is>
          <t>ฎีกาน่ารู้</t>
        </is>
      </c>
      <c r="F11" s="5" t="inlineStr">
        <is>
          <t>ระบบต้องแสดงคำพิพากษาศาลฎีกาที่คัดเลือก: เลขที่คำพิพากษา/ปี, ประเด็น, ข้อเท็จจริงโดยย่อ, คำวินิจฉัย, หลักที่ได้, มาตราที่เกี่ยวข้อง, ลิงก์ต้นฉบับ; ค้นด้วยเลขฎีกาได้ (เช่น "ฎีกา 1234/2560")</t>
        </is>
      </c>
      <c r="G11" s="5" t="inlineStr">
        <is>
          <t>Should (ควรมี)</t>
        </is>
      </c>
      <c r="H11" s="4" t="inlineStr">
        <is>
          <t>P2</t>
        </is>
      </c>
    </row>
    <row r="12" ht="27.5">
      <c r="A12" s="4" t="n">
        <v>8</v>
      </c>
      <c r="B12" s="5" t="inlineStr">
        <is>
          <t>FR-KB-013</t>
        </is>
      </c>
      <c r="C12" s="4" t="inlineStr">
        <is>
          <t>M3</t>
        </is>
      </c>
      <c r="D12" s="5" t="inlineStr">
        <is>
          <t>คลังความรู้</t>
        </is>
      </c>
      <c r="E12" s="5" t="inlineStr">
        <is>
          <t>FAQ</t>
        </is>
      </c>
      <c r="F12" s="5" t="inlineStr">
        <is>
          <t>ระบบต้องมี FAQ ต่อหมวดแบบ accordion (คำถาม-คำตอบสั้นพร้อม citation) และใช้เป็นการ์ดตัวอย่างคำถามได้</t>
        </is>
      </c>
      <c r="G12" s="5" t="inlineStr">
        <is>
          <t>Should (ควรมี)</t>
        </is>
      </c>
      <c r="H12" s="4" t="inlineStr">
        <is>
          <t>P2</t>
        </is>
      </c>
    </row>
    <row r="13" ht="27.5">
      <c r="A13" s="4" t="n">
        <v>9</v>
      </c>
      <c r="B13" s="5" t="inlineStr">
        <is>
          <t>FR-KB-017</t>
        </is>
      </c>
      <c r="C13" s="4" t="inlineStr">
        <is>
          <t>M3</t>
        </is>
      </c>
      <c r="D13" s="5" t="inlineStr">
        <is>
          <t>คลังความรู้</t>
        </is>
      </c>
      <c r="E13" s="5" t="inlineStr">
        <is>
          <t>ไฮไลต์และโน้ตส่วนตัว</t>
        </is>
      </c>
      <c r="F13" s="5" t="inlineStr">
        <is>
          <t>ระบบอาจให้ member ไฮไลต์ข้อความในบทความ/ตัวบทและเพิ่มโน้ตส่วนตัว</t>
        </is>
      </c>
      <c r="G13" s="5" t="inlineStr">
        <is>
          <t>Could (อาจมี)</t>
        </is>
      </c>
      <c r="H13" s="4" t="inlineStr">
        <is>
          <t>P2</t>
        </is>
      </c>
    </row>
    <row r="14" ht="27.5">
      <c r="A14" s="4" t="n">
        <v>10</v>
      </c>
      <c r="B14" s="5" t="inlineStr">
        <is>
          <t>FR-LRN-001</t>
        </is>
      </c>
      <c r="C14" s="4" t="inlineStr">
        <is>
          <t>M4</t>
        </is>
      </c>
      <c r="D14" s="5" t="inlineStr">
        <is>
          <t>เรียนจาก 0</t>
        </is>
      </c>
      <c r="E14" s="5" t="inlineStr">
        <is>
          <t>แคตตาล็อกหลักสูตร</t>
        </is>
      </c>
      <c r="F14" s="5" t="inlineStr">
        <is>
          <t>ระบบต้องแสดง /learn: การ์ดหลักสูตร (ชื่อ, คำอธิบาย, ระดับ, จำนวนบทเรียน, เวลาเรียนรวมโดยประมาณ, ความก้าวหน้าของผู้ใช้) และส่วน "เรียนต่อจากที่ค้าง"</t>
        </is>
      </c>
      <c r="G14" s="5" t="inlineStr">
        <is>
          <t>Must (ต้องมี)</t>
        </is>
      </c>
      <c r="H14" s="4" t="inlineStr">
        <is>
          <t>P2</t>
        </is>
      </c>
    </row>
    <row r="15" ht="27.5">
      <c r="A15" s="4" t="n">
        <v>11</v>
      </c>
      <c r="B15" s="5" t="inlineStr">
        <is>
          <t>FR-LRN-002</t>
        </is>
      </c>
      <c r="C15" s="4" t="inlineStr">
        <is>
          <t>M4</t>
        </is>
      </c>
      <c r="D15" s="5" t="inlineStr">
        <is>
          <t>เรียนจาก 0</t>
        </is>
      </c>
      <c r="E15" s="5" t="inlineStr">
        <is>
          <t>หน้าหลักสูตร</t>
        </is>
      </c>
      <c r="F15" s="5" t="inlineStr">
        <is>
          <t>ระบบต้องแสดงรายการบทเรียนเรียงลำดับ พร้อมสถานะ (ล็อก / พร้อมเรียน / เรียนแล้ว / ผ่าน quiz), วัตถุประสงค์การเรียนรู้ และแถบความก้าวหน้า %</t>
        </is>
      </c>
      <c r="G15" s="5" t="inlineStr">
        <is>
          <t>Must (ต้องมี)</t>
        </is>
      </c>
      <c r="H15" s="4" t="inlineStr">
        <is>
          <t>P2</t>
        </is>
      </c>
    </row>
    <row r="16" ht="40">
      <c r="A16" s="4" t="n">
        <v>12</v>
      </c>
      <c r="B16" s="5" t="inlineStr">
        <is>
          <t>FR-LRN-003</t>
        </is>
      </c>
      <c r="C16" s="4" t="inlineStr">
        <is>
          <t>M4</t>
        </is>
      </c>
      <c r="D16" s="5" t="inlineStr">
        <is>
          <t>เรียนจาก 0</t>
        </is>
      </c>
      <c r="E16" s="5" t="inlineStr">
        <is>
          <t>หน้าบทเรียน</t>
        </is>
      </c>
      <c r="F16" s="5" t="inlineStr">
        <is>
          <t>ระบบต้องแสดงบทเรียน (markdown + รูป/infographic + citation + glossary tooltip), เวลาอ่าน, ปุ่ม "ก่อนหน้า/ถัดไป", "ทำแบบทดสอบ" และ "ถามนิติมิตรเกี่ยวกับบทนี้"</t>
        </is>
      </c>
      <c r="G16" s="5" t="inlineStr">
        <is>
          <t>Must (ต้องมี)</t>
        </is>
      </c>
      <c r="H16" s="4" t="inlineStr">
        <is>
          <t>P2</t>
        </is>
      </c>
    </row>
    <row r="17" ht="40">
      <c r="A17" s="4" t="n">
        <v>13</v>
      </c>
      <c r="B17" s="5" t="inlineStr">
        <is>
          <t>FR-LRN-004</t>
        </is>
      </c>
      <c r="C17" s="4" t="inlineStr">
        <is>
          <t>M4</t>
        </is>
      </c>
      <c r="D17" s="5" t="inlineStr">
        <is>
          <t>เรียนจาก 0</t>
        </is>
      </c>
      <c r="E17" s="5" t="inlineStr">
        <is>
          <t>แบบทดสอบพร้อมเฉลย</t>
        </is>
      </c>
      <c r="F17" s="5" t="inlineStr">
        <is>
          <t>ระบบต้องมี quiz ท้ายบทเรียน (MCQ, จริง/เท็จ, เลือกหลายข้อ) 3–5 ข้อ; หลังตอบแต่ละข้อแสดงเฉลย + คำอธิบาย + citation; เกณฑ์ผ่านกำหนดต่อบทเรียน (ค่าเริ่มต้น 60%); ทำซ้ำได้ไม่จำกัด โดยสลับลำดับตัวเลือก</t>
        </is>
      </c>
      <c r="G17" s="5" t="inlineStr">
        <is>
          <t>Must (ต้องมี)</t>
        </is>
      </c>
      <c r="H17" s="4" t="inlineStr">
        <is>
          <t>P2</t>
        </is>
      </c>
    </row>
    <row r="18" ht="27.5">
      <c r="A18" s="4" t="n">
        <v>14</v>
      </c>
      <c r="B18" s="5" t="inlineStr">
        <is>
          <t>FR-LRN-005</t>
        </is>
      </c>
      <c r="C18" s="4" t="inlineStr">
        <is>
          <t>M4</t>
        </is>
      </c>
      <c r="D18" s="5" t="inlineStr">
        <is>
          <t>เรียนจาก 0</t>
        </is>
      </c>
      <c r="E18" s="5" t="inlineStr">
        <is>
          <t>ติดตามความก้าวหน้า</t>
        </is>
      </c>
      <c r="F18" s="5" t="inlineStr">
        <is>
          <t>ระบบต้องบันทึกความก้าวหน้าระดับบทเรียนของ member ข้ามอุปกรณ์; guest เก็บใน localStorage และย้ายเข้าบัญชีเมื่อสมัคร</t>
        </is>
      </c>
      <c r="G18" s="5" t="inlineStr">
        <is>
          <t>Must (ต้องมี)</t>
        </is>
      </c>
      <c r="H18" s="4" t="inlineStr">
        <is>
          <t>P2</t>
        </is>
      </c>
    </row>
    <row r="19" ht="27.5">
      <c r="A19" s="4" t="n">
        <v>15</v>
      </c>
      <c r="B19" s="5" t="inlineStr">
        <is>
          <t>FR-LRN-006</t>
        </is>
      </c>
      <c r="C19" s="4" t="inlineStr">
        <is>
          <t>M4</t>
        </is>
      </c>
      <c r="D19" s="5" t="inlineStr">
        <is>
          <t>เรียนจาก 0</t>
        </is>
      </c>
      <c r="E19" s="5" t="inlineStr">
        <is>
          <t>ปลดล็อกตามลำดับ</t>
        </is>
      </c>
      <c r="F19" s="5" t="inlineStr">
        <is>
          <t>ระบบควรล็อกบทเรียนถัดไปจนกว่าจะผ่าน quiz บทก่อนหน้า (ตั้งค่าได้ต่อหลักสูตร: sequential / free)</t>
        </is>
      </c>
      <c r="G19" s="5" t="inlineStr">
        <is>
          <t>Should (ควรมี)</t>
        </is>
      </c>
      <c r="H19" s="4" t="inlineStr">
        <is>
          <t>P2</t>
        </is>
      </c>
    </row>
    <row r="20" ht="27.5">
      <c r="A20" s="4" t="n">
        <v>16</v>
      </c>
      <c r="B20" s="5" t="inlineStr">
        <is>
          <t>FR-LRN-007</t>
        </is>
      </c>
      <c r="C20" s="4" t="inlineStr">
        <is>
          <t>M4</t>
        </is>
      </c>
      <c r="D20" s="5" t="inlineStr">
        <is>
          <t>เรียนจาก 0</t>
        </is>
      </c>
      <c r="E20" s="5" t="inlineStr">
        <is>
          <t>Badge และใบรับรองการเรียน</t>
        </is>
      </c>
      <c r="F20" s="5" t="inlineStr">
        <is>
          <t>ระบบควรมอบ badge เมื่อจบหลักสูตร และให้ดาวน์โหลดใบประกาศ PDF (ระบุชัดว่า "ไม่ใช่วุฒิบัตรทางวิชาชีพ")</t>
        </is>
      </c>
      <c r="G20" s="5" t="inlineStr">
        <is>
          <t>Could (อาจมี)</t>
        </is>
      </c>
      <c r="H20" s="4" t="inlineStr">
        <is>
          <t>P2</t>
        </is>
      </c>
    </row>
    <row r="21" ht="27.5">
      <c r="A21" s="4" t="n">
        <v>17</v>
      </c>
      <c r="B21" s="5" t="inlineStr">
        <is>
          <t>FR-LRN-008</t>
        </is>
      </c>
      <c r="C21" s="4" t="inlineStr">
        <is>
          <t>M4</t>
        </is>
      </c>
      <c r="D21" s="5" t="inlineStr">
        <is>
          <t>เรียนจาก 0</t>
        </is>
      </c>
      <c r="E21" s="5" t="inlineStr">
        <is>
          <t>ถามนิติมิตรเกี่ยวกับบทเรียน</t>
        </is>
      </c>
      <c r="F21" s="5" t="inlineStr">
        <is>
          <t>ระบบต้องเปิดแชทที่ผูกกับบทเรียนนั้น และไม่เฉลย quiz โดยตรงเมื่อผู้ใช้ถามข้อ quiz (อธิบายหลักแทน)</t>
        </is>
      </c>
      <c r="G21" s="5" t="inlineStr">
        <is>
          <t>Should (ควรมี)</t>
        </is>
      </c>
      <c r="H21" s="4" t="inlineStr">
        <is>
          <t>P2</t>
        </is>
      </c>
    </row>
    <row r="22" ht="27.5">
      <c r="A22" s="4" t="n">
        <v>18</v>
      </c>
      <c r="B22" s="5" t="inlineStr">
        <is>
          <t>FR-LRN-009</t>
        </is>
      </c>
      <c r="C22" s="4" t="inlineStr">
        <is>
          <t>M4</t>
        </is>
      </c>
      <c r="D22" s="5" t="inlineStr">
        <is>
          <t>เรียนจาก 0</t>
        </is>
      </c>
      <c r="E22" s="5" t="inlineStr">
        <is>
          <t>หลักสูตรแนะนำตามความสนใจ</t>
        </is>
      </c>
      <c r="F22" s="5" t="inlineStr">
        <is>
          <t>ระบบอาจแนะนำหลักสูตรตามหมวดที่ผู้ใช้ถามบ่อยในแชท (เฉพาะผู้ที่ให้ consent improve_service)</t>
        </is>
      </c>
      <c r="G22" s="5" t="inlineStr">
        <is>
          <t>Could (อาจมี)</t>
        </is>
      </c>
      <c r="H22" s="4" t="inlineStr">
        <is>
          <t>P2</t>
        </is>
      </c>
    </row>
    <row r="23" ht="27.5">
      <c r="A23" s="4" t="n">
        <v>19</v>
      </c>
      <c r="B23" s="5" t="inlineStr">
        <is>
          <t>FR-GUIDE-004</t>
        </is>
      </c>
      <c r="C23" s="4" t="inlineStr">
        <is>
          <t>M5</t>
        </is>
      </c>
      <c r="D23" s="5" t="inlineStr">
        <is>
          <t>คู่มือขั้นตอน</t>
        </is>
      </c>
      <c r="E23" s="5" t="inlineStr">
        <is>
          <t>ค่าธรรมเนียมและข้อมูลตัวเลขจากข้อมูลอ้างอิง</t>
        </is>
      </c>
      <c r="F23" s="5" t="inlineStr">
        <is>
          <t>ค่าธรรมเนียม ระยะเวลา และตัวเลขอื่นในคู่มือต้องมาจากฟิลด์ข้อมูลที่มีแหล่งอ้างอิงและวันที่มีผล (ไม่ใช่ข้อความอิสระ) และแสดง "ข้อมูล ณ วันที่" (BR-020)</t>
        </is>
      </c>
      <c r="G23" s="5" t="inlineStr">
        <is>
          <t>Must (ต้องมี)</t>
        </is>
      </c>
      <c r="H23" s="4" t="inlineStr">
        <is>
          <t>P2</t>
        </is>
      </c>
    </row>
    <row r="24" ht="27.5">
      <c r="A24" s="4" t="n">
        <v>20</v>
      </c>
      <c r="B24" s="5" t="inlineStr">
        <is>
          <t>FR-GUIDE-009</t>
        </is>
      </c>
      <c r="C24" s="4" t="inlineStr">
        <is>
          <t>M5</t>
        </is>
      </c>
      <c r="D24" s="5" t="inlineStr">
        <is>
          <t>คู่มือขั้นตอน</t>
        </is>
      </c>
      <c r="E24" s="5" t="inlineStr">
        <is>
          <t>แจ้งข้อมูลล้าสมัย</t>
        </is>
      </c>
      <c r="F24" s="5" t="inlineStr">
        <is>
          <t>ระบบต้องมีปุ่มแจ้งข้อมูลไม่ถูกต้องต่อส่วน (เช่น ค่าธรรมเนียม, สถานที่) — ใช้กลไกเดียวกับ FR-KB-016</t>
        </is>
      </c>
      <c r="G24" s="5" t="inlineStr">
        <is>
          <t>Must (ต้องมี)</t>
        </is>
      </c>
      <c r="H24" s="4" t="inlineStr">
        <is>
          <t>P2</t>
        </is>
      </c>
    </row>
    <row r="25" ht="52.5">
      <c r="A25" s="4" t="n">
        <v>21</v>
      </c>
      <c r="B25" s="5" t="inlineStr">
        <is>
          <t>FR-COURT-001</t>
        </is>
      </c>
      <c r="C25" s="4" t="inlineStr">
        <is>
          <t>M7</t>
        </is>
      </c>
      <c r="D25" s="5" t="inlineStr">
        <is>
          <t>นำทางสู่ศาล</t>
        </is>
      </c>
      <c r="E25" s="5" t="inlineStr">
        <is>
          <t>อธิบาย Timeline คดี</t>
        </is>
      </c>
      <c r="F25" s="5" t="inlineStr">
        <is>
          <t>ระบบต้องแสดง timeline แบบ interactive ของกระบวนการคดี: แพ่ง, แพ่งแบบมโนสาเร่/ผู้บริโภค, อาญา (ผู้เสียหาย), อาญา (ผู้ถูกกล่าวหา), แรงงาน, ครอบครัว, ปกครอง — แต่ละขั้นมีคำอธิบาย, ใครทำอะไร, ระยะเวลาโดยประมาณ (จากข้อมูลอ้างอิง), เอกสาร, สิทธิในขั้นนั้น, citation</t>
        </is>
      </c>
      <c r="G25" s="5" t="inlineStr">
        <is>
          <t>Must (ต้องมี)</t>
        </is>
      </c>
      <c r="H25" s="4" t="inlineStr">
        <is>
          <t>P2</t>
        </is>
      </c>
    </row>
    <row r="26" ht="27.5">
      <c r="A26" s="4" t="n">
        <v>22</v>
      </c>
      <c r="B26" s="5" t="inlineStr">
        <is>
          <t>FR-COURT-002</t>
        </is>
      </c>
      <c r="C26" s="4" t="inlineStr">
        <is>
          <t>M7</t>
        </is>
      </c>
      <c r="D26" s="5" t="inlineStr">
        <is>
          <t>นำทางสู่ศาล</t>
        </is>
      </c>
      <c r="E26" s="5" t="inlineStr">
        <is>
          <t>สมุดรายชื่อศาล</t>
        </is>
      </c>
      <c r="F26" s="5" t="inlineStr">
        <is>
          <t>ระบบต้องแสดงรายชื่อศาลทั่วประเทศ (ประเภท, ชั้น, ที่อยู่, โทรศัพท์, เว็บไซต์, พื้นที่เขตอำนาจ, พิกัด/ลิงก์แผนที่) กรองตามจังหวัด/ประเภทศาล</t>
        </is>
      </c>
      <c r="G26" s="5" t="inlineStr">
        <is>
          <t>Must (ต้องมี)</t>
        </is>
      </c>
      <c r="H26" s="4" t="inlineStr">
        <is>
          <t>P2</t>
        </is>
      </c>
    </row>
    <row r="27" ht="40">
      <c r="A27" s="4" t="n">
        <v>23</v>
      </c>
      <c r="B27" s="5" t="inlineStr">
        <is>
          <t>FR-COURT-003</t>
        </is>
      </c>
      <c r="C27" s="4" t="inlineStr">
        <is>
          <t>M7</t>
        </is>
      </c>
      <c r="D27" s="5" t="inlineStr">
        <is>
          <t>นำทางสู่ศาล</t>
        </is>
      </c>
      <c r="E27" s="5" t="inlineStr">
        <is>
          <t>ตารางอายุความ (อ่านอย่างเดียว)</t>
        </is>
      </c>
      <c r="F27" s="5" t="inlineStr">
        <is>
          <t>ระบบต้องแสดงตารางอายุความที่พบบ่อยจาก kb.prescription_rules (ประเภทสิทธิเรียกร้อง, ระยะเวลา, เริ่มนับเมื่อ, มาตรา, หมายเหตุข้อยกเว้น) ค้นหาได้ — ข้อมูลทั้งหมดดูแลโดย Legal Reviewer</t>
        </is>
      </c>
      <c r="G27" s="5" t="inlineStr">
        <is>
          <t>Must (ต้องมี)</t>
        </is>
      </c>
      <c r="H27" s="4" t="inlineStr">
        <is>
          <t>P2</t>
        </is>
      </c>
    </row>
    <row r="28" ht="52.5">
      <c r="A28" s="4" t="n">
        <v>24</v>
      </c>
      <c r="B28" s="5" t="inlineStr">
        <is>
          <t>FR-COURT-004</t>
        </is>
      </c>
      <c r="C28" s="4" t="inlineStr">
        <is>
          <t>M7</t>
        </is>
      </c>
      <c r="D28" s="5" t="inlineStr">
        <is>
          <t>นำทางสู่ศาล</t>
        </is>
      </c>
      <c r="E28" s="5" t="inlineStr">
        <is>
          <t>Jurisdiction Finder</t>
        </is>
      </c>
      <c r="F28" s="5" t="inlineStr">
        <is>
          <t>ระบบต้องมี wizard ถามประเภทเรื่อง, ทุนทรัพย์/จำนวนเงิน, ภูมิลำเนาจำเลย, สถานที่มูลคดีเกิด, สถานะผู้บริโภค/ลูกจ้าง แล้วแสดงศาลที่น่าจะมีเขตอำนาจ (1–3 ตัวเลือก) พร้อมเหตุผลทีละข้อและ citation — ใช้ชุดกฎจากข้อมูลอ้างอิงที่ผู้ตรวจเนื้อหาดูแล</t>
        </is>
      </c>
      <c r="G28" s="5" t="inlineStr">
        <is>
          <t>Must (ต้องมี)</t>
        </is>
      </c>
      <c r="H28" s="4" t="inlineStr">
        <is>
          <t>P2</t>
        </is>
      </c>
    </row>
    <row r="29" ht="52.5">
      <c r="A29" s="4" t="n">
        <v>25</v>
      </c>
      <c r="B29" s="5" t="inlineStr">
        <is>
          <t>FR-COURT-005</t>
        </is>
      </c>
      <c r="C29" s="4" t="inlineStr">
        <is>
          <t>M7</t>
        </is>
      </c>
      <c r="D29" s="5" t="inlineStr">
        <is>
          <t>นำทางสู่ศาล</t>
        </is>
      </c>
      <c r="E29" s="5" t="inlineStr">
        <is>
          <t>ประมาณค่าธรรมเนียมศาล</t>
        </is>
      </c>
      <c r="F29" s="5" t="inlineStr">
        <is>
          <t>ระบบต้องคำนวณค่าธรรมเนียมศาลโดยประมาณจากประเภทคดีและทุนทรัพย์ ตาม kb.court_fee_schedules เวอร์ชันที่มีผล ณ วันที่คำนวณ พร้อมแสดงสูตร/ขั้นบันได, ข้อยกเว้น (เช่น คดีที่ได้รับยกเว้นค่าธรรมเนียมตามข้อมูลอ้างอิง) และช่องทางขอยกเว้นค่าธรรมเนียม</t>
        </is>
      </c>
      <c r="G29" s="5" t="inlineStr">
        <is>
          <t>Must (ต้องมี)</t>
        </is>
      </c>
      <c r="H29" s="4" t="inlineStr">
        <is>
          <t>P2</t>
        </is>
      </c>
    </row>
    <row r="30" ht="52.5">
      <c r="A30" s="4" t="n">
        <v>26</v>
      </c>
      <c r="B30" s="5" t="inlineStr">
        <is>
          <t>FR-COURT-006</t>
        </is>
      </c>
      <c r="C30" s="4" t="inlineStr">
        <is>
          <t>M7</t>
        </is>
      </c>
      <c r="D30" s="5" t="inlineStr">
        <is>
          <t>นำทางสู่ศาล</t>
        </is>
      </c>
      <c r="E30" s="5" t="inlineStr">
        <is>
          <t>ตรวจอายุความ (Prescription Checker)</t>
        </is>
      </c>
      <c r="F30" s="5" t="inlineStr">
        <is>
          <t>ระบบต้องให้เลือกประเภทสิทธิเรียกร้อง + วันที่เริ่มนับ แล้วคำนวณวันครบอายุความตาม kb.prescription_rules แสดงจำนวนวันที่เหลือ, ระดับความเร่งด่วน (ปกติ / ใกล้ครบ ≤ 90 วัน / เร่งด่วน ≤ 30 วัน / เลยกำหนด), ข้อยกเว้นที่อาจเกี่ยวข้อง และคำเตือนให้ปรึกษาผู้เชี่ยวชาญ</t>
        </is>
      </c>
      <c r="G30" s="5" t="inlineStr">
        <is>
          <t>Must (ต้องมี)</t>
        </is>
      </c>
      <c r="H30" s="4" t="inlineStr">
        <is>
          <t>P2</t>
        </is>
      </c>
    </row>
    <row r="31" ht="40">
      <c r="A31" s="4" t="n">
        <v>27</v>
      </c>
      <c r="B31" s="5" t="inlineStr">
        <is>
          <t>FR-COURT-007</t>
        </is>
      </c>
      <c r="C31" s="4" t="inlineStr">
        <is>
          <t>M7</t>
        </is>
      </c>
      <c r="D31" s="5" t="inlineStr">
        <is>
          <t>นำทางสู่ศาล</t>
        </is>
      </c>
      <c r="E31" s="5" t="inlineStr">
        <is>
          <t>คู่มือ e-Filing</t>
        </is>
      </c>
      <c r="F31" s="5" t="inlineStr">
        <is>
          <t>ระบบต้องมีคู่มือทีละขั้นสำหรับระบบยื่นเอกสารออนไลน์ของศาลยุติธรรม (e-Filing/CIOS) และระบบยื่นฟ้องออนไลน์ของศาลปกครอง: การสมัคร, การยืนยันตัวตน, การยื่น, การชำระค่าธรรมเนียม, การติดตามคดี — พร้อมภาพหน้าจอ และลิงก์ทางการ</t>
        </is>
      </c>
      <c r="G31" s="5" t="inlineStr">
        <is>
          <t>Should (ควรมี)</t>
        </is>
      </c>
      <c r="H31" s="4" t="inlineStr">
        <is>
          <t>P2</t>
        </is>
      </c>
    </row>
    <row r="32" ht="40">
      <c r="A32" s="4" t="n">
        <v>28</v>
      </c>
      <c r="B32" s="5" t="inlineStr">
        <is>
          <t>FR-COURT-008</t>
        </is>
      </c>
      <c r="C32" s="4" t="inlineStr">
        <is>
          <t>M7</t>
        </is>
      </c>
      <c r="D32" s="5" t="inlineStr">
        <is>
          <t>นำทางสู่ศาล</t>
        </is>
      </c>
      <c r="E32" s="5" t="inlineStr">
        <is>
          <t>ประเมิน "ควรปรึกษาทนายไหม"</t>
        </is>
      </c>
      <c r="F32" s="5" t="inlineStr">
        <is>
          <t>ระบบต้องมีแบบประเมินสั้น (5–8 คำถาม) ให้ผลเป็นระดับ (ทำเองได้ / ควรปรึกษา / ควรมีทนาย) พร้อมเหตุผล — เกณฑ์เป็น rule ที่ reviewer กำหนด และลิงก์ช่องทางช่วยเหลือฟรี (M9)</t>
        </is>
      </c>
      <c r="G32" s="5" t="inlineStr">
        <is>
          <t>Should (ควรมี)</t>
        </is>
      </c>
      <c r="H32" s="4" t="inlineStr">
        <is>
          <t>P2</t>
        </is>
      </c>
    </row>
    <row r="33" ht="27.5">
      <c r="A33" s="4" t="n">
        <v>29</v>
      </c>
      <c r="B33" s="5" t="inlineStr">
        <is>
          <t>FR-COURT-009</t>
        </is>
      </c>
      <c r="C33" s="4" t="inlineStr">
        <is>
          <t>M7</t>
        </is>
      </c>
      <c r="D33" s="5" t="inlineStr">
        <is>
          <t>นำทางสู่ศาล</t>
        </is>
      </c>
      <c r="E33" s="5" t="inlineStr">
        <is>
          <t>บันทึกผลลงคดีของฉัน</t>
        </is>
      </c>
      <c r="F33" s="5" t="inlineStr">
        <is>
          <t>ระบบต้องให้บันทึกผลจาก finder/fee/prescription ลงคดีใน M8 (สร้างคดีใหม่หรือเพิ่มในคดีเดิม) รวมถึงสร้างกำหนดเวลาจากผลอายุความ</t>
        </is>
      </c>
      <c r="G33" s="5" t="inlineStr">
        <is>
          <t>Should (ควรมี)</t>
        </is>
      </c>
      <c r="H33" s="4" t="inlineStr">
        <is>
          <t>P2</t>
        </is>
      </c>
    </row>
    <row r="34" ht="27.5">
      <c r="A34" s="4" t="n">
        <v>30</v>
      </c>
      <c r="B34" s="5" t="inlineStr">
        <is>
          <t>FR-COURT-010</t>
        </is>
      </c>
      <c r="C34" s="4" t="inlineStr">
        <is>
          <t>M7</t>
        </is>
      </c>
      <c r="D34" s="5" t="inlineStr">
        <is>
          <t>นำทางสู่ศาล</t>
        </is>
      </c>
      <c r="E34" s="5" t="inlineStr">
        <is>
          <t>ลิงก์แบบพิมพ์ศาลทางการ</t>
        </is>
      </c>
      <c r="F34" s="5" t="inlineStr">
        <is>
          <t>ระบบต้องมีรายการแบบพิมพ์ศาลที่ใช้บ่อย (ลิงก์ไปแหล่งทางการ) พร้อมคำอธิบายวิธีกรอกทีละช่องแบบทั่วไป (ไม่กรอกแทนผู้ใช้)</t>
        </is>
      </c>
      <c r="G34" s="5" t="inlineStr">
        <is>
          <t>Should (ควรมี)</t>
        </is>
      </c>
      <c r="H34" s="4" t="inlineStr">
        <is>
          <t>P2</t>
        </is>
      </c>
    </row>
    <row r="35" ht="52.5">
      <c r="A35" s="4" t="n">
        <v>31</v>
      </c>
      <c r="B35" s="5" t="inlineStr">
        <is>
          <t>FR-CASE-001</t>
        </is>
      </c>
      <c r="C35" s="4" t="inlineStr">
        <is>
          <t>M8</t>
        </is>
      </c>
      <c r="D35" s="5" t="inlineStr">
        <is>
          <t>สมุดคดีของฉัน</t>
        </is>
      </c>
      <c r="E35" s="5" t="inlineStr">
        <is>
          <t>สร้างคดี/เรื่อง</t>
        </is>
      </c>
      <c r="F35" s="5" t="inlineStr">
        <is>
          <t>ระบบต้องให้ member สร้างเรื่อง: ชื่อเรื่อง, ประเภท (หมวดกฎหมาย), บทบาทของผู้ใช้ (โจทก์/ผู้เสียหาย/จำเลย/ผู้ต้องหา/อื่น ๆ), คู่กรณี (อนุญาตนามแฝง), สถานะ, เลขคดี (ไม่บังคับ), ศาล/หน่วยงาน — ต้องมี consent sensitive_case_data ก่อน</t>
        </is>
      </c>
      <c r="G35" s="5" t="inlineStr">
        <is>
          <t>Must (ต้องมี)</t>
        </is>
      </c>
      <c r="H35" s="4" t="inlineStr">
        <is>
          <t>P2</t>
        </is>
      </c>
    </row>
    <row r="36" ht="27.5">
      <c r="A36" s="4" t="n">
        <v>32</v>
      </c>
      <c r="B36" s="5" t="inlineStr">
        <is>
          <t>FR-CASE-002</t>
        </is>
      </c>
      <c r="C36" s="4" t="inlineStr">
        <is>
          <t>M8</t>
        </is>
      </c>
      <c r="D36" s="5" t="inlineStr">
        <is>
          <t>สมุดคดีของฉัน</t>
        </is>
      </c>
      <c r="E36" s="5" t="inlineStr">
        <is>
          <t>รายการคดีและสถานะ</t>
        </is>
      </c>
      <c r="F36" s="5" t="inlineStr">
        <is>
          <t>ระบบต้องแสดงรายการคดีพร้อมสถานะ (กำลังเตรียม / ยื่นแล้ว / อยู่ระหว่างพิจารณา / ปิด), กำหนดเวลาถัดไป และตัวกรอง</t>
        </is>
      </c>
      <c r="G36" s="5" t="inlineStr">
        <is>
          <t>Must (ต้องมี)</t>
        </is>
      </c>
      <c r="H36" s="4" t="inlineStr">
        <is>
          <t>P2</t>
        </is>
      </c>
    </row>
    <row r="37" ht="27.5">
      <c r="A37" s="4" t="n">
        <v>33</v>
      </c>
      <c r="B37" s="5" t="inlineStr">
        <is>
          <t>FR-CASE-003</t>
        </is>
      </c>
      <c r="C37" s="4" t="inlineStr">
        <is>
          <t>M8</t>
        </is>
      </c>
      <c r="D37" s="5" t="inlineStr">
        <is>
          <t>สมุดคดีของฉัน</t>
        </is>
      </c>
      <c r="E37" s="5" t="inlineStr">
        <is>
          <t>Timeline เหตุการณ์</t>
        </is>
      </c>
      <c r="F37" s="5" t="inlineStr">
        <is>
          <t>ระบบต้องให้เพิ่ม/แก้/ลบเหตุการณ์ (วันที่, ชนิด: เหตุการณ์/นัดศาล/ยื่นเอกสาร/ได้รับหมาย/อื่น ๆ, รายละเอียด) แสดงเป็น timeline</t>
        </is>
      </c>
      <c r="G37" s="5" t="inlineStr">
        <is>
          <t>Must (ต้องมี)</t>
        </is>
      </c>
      <c r="H37" s="4" t="inlineStr">
        <is>
          <t>P2</t>
        </is>
      </c>
    </row>
    <row r="38" ht="40">
      <c r="A38" s="4" t="n">
        <v>34</v>
      </c>
      <c r="B38" s="5" t="inlineStr">
        <is>
          <t>FR-CASE-004</t>
        </is>
      </c>
      <c r="C38" s="4" t="inlineStr">
        <is>
          <t>M8</t>
        </is>
      </c>
      <c r="D38" s="5" t="inlineStr">
        <is>
          <t>สมุดคดีของฉัน</t>
        </is>
      </c>
      <c r="E38" s="5" t="inlineStr">
        <is>
          <t>กำหนดเวลาและการแจ้งเตือน</t>
        </is>
      </c>
      <c r="F38" s="5" t="inlineStr">
        <is>
          <t>ระบบต้องให้ตั้งกำหนดเวลา/วันนัด พร้อมแจ้งเตือนทางอีเมลล่วงหน้า (ค่าเริ่มต้น 7 วัน, 1 วัน; ตั้งเองได้) และ LINE (P3); ข้อความแจ้งเตือนต้องไม่มีรายละเอียดคดี (เฉพาะชื่อเรื่องที่ผู้ใช้ตั้ง + ลิงก์)</t>
        </is>
      </c>
      <c r="G38" s="5" t="inlineStr">
        <is>
          <t>Must (ต้องมี)</t>
        </is>
      </c>
      <c r="H38" s="4" t="inlineStr">
        <is>
          <t>P2</t>
        </is>
      </c>
    </row>
    <row r="39" ht="27.5">
      <c r="A39" s="4" t="n">
        <v>35</v>
      </c>
      <c r="B39" s="5" t="inlineStr">
        <is>
          <t>FR-CASE-005</t>
        </is>
      </c>
      <c r="C39" s="4" t="inlineStr">
        <is>
          <t>M8</t>
        </is>
      </c>
      <c r="D39" s="5" t="inlineStr">
        <is>
          <t>สมุดคดีของฉัน</t>
        </is>
      </c>
      <c r="E39" s="5" t="inlineStr">
        <is>
          <t>เอกสารแนบคดี</t>
        </is>
      </c>
      <c r="F39" s="5" t="inlineStr">
        <is>
          <t>ระบบต้องให้อัปโหลดเอกสาร (pdf/jpg/png ตาม BR-019) ซึ่งถูกสแกนไวรัส, เข้ารหัส at-rest, ดาวน์โหลดได้เฉพาะเจ้าของผ่าน signed URL อายุสั้น</t>
        </is>
      </c>
      <c r="G39" s="5" t="inlineStr">
        <is>
          <t>Must (ต้องมี)</t>
        </is>
      </c>
      <c r="H39" s="4" t="inlineStr">
        <is>
          <t>P2</t>
        </is>
      </c>
    </row>
    <row r="40" ht="27.5">
      <c r="A40" s="4" t="n">
        <v>36</v>
      </c>
      <c r="B40" s="5" t="inlineStr">
        <is>
          <t>FR-CASE-006</t>
        </is>
      </c>
      <c r="C40" s="4" t="inlineStr">
        <is>
          <t>M8</t>
        </is>
      </c>
      <c r="D40" s="5" t="inlineStr">
        <is>
          <t>สมุดคดีของฉัน</t>
        </is>
      </c>
      <c r="E40" s="5" t="inlineStr">
        <is>
          <t>โน้ต</t>
        </is>
      </c>
      <c r="F40" s="5" t="inlineStr">
        <is>
          <t>ระบบต้องมีโน้ตข้อความ (markdown พื้นฐาน) ต่อคดี เข้ารหัส at-rest</t>
        </is>
      </c>
      <c r="G40" s="5" t="inlineStr">
        <is>
          <t>Should (ควรมี)</t>
        </is>
      </c>
      <c r="H40" s="4" t="inlineStr">
        <is>
          <t>P2</t>
        </is>
      </c>
    </row>
    <row r="41" ht="27.5">
      <c r="A41" s="4" t="n">
        <v>37</v>
      </c>
      <c r="B41" s="5" t="inlineStr">
        <is>
          <t>FR-CASE-007</t>
        </is>
      </c>
      <c r="C41" s="4" t="inlineStr">
        <is>
          <t>M8</t>
        </is>
      </c>
      <c r="D41" s="5" t="inlineStr">
        <is>
          <t>สมุดคดีของฉัน</t>
        </is>
      </c>
      <c r="E41" s="5" t="inlineStr">
        <is>
          <t>ถามนิติมิตรด้วยข้อมูลคดี</t>
        </is>
      </c>
      <c r="F41" s="5" t="inlineStr">
        <is>
          <t>ระบบต้องให้เปิดแชทที่ผูกกับคดี โดยผู้ใช้เลือกได้ว่าจะใช้ข้อมูลส่วนใด (สรุป/timeline/โน้ต) ประกอบการค้น; ข้อมูลผ่าน PII masking ก่อนค้นหา</t>
        </is>
      </c>
      <c r="G41" s="5" t="inlineStr">
        <is>
          <t>Should (ควรมี)</t>
        </is>
      </c>
      <c r="H41" s="4" t="inlineStr">
        <is>
          <t>P2</t>
        </is>
      </c>
    </row>
    <row r="42" ht="27.5">
      <c r="A42" s="4" t="n">
        <v>38</v>
      </c>
      <c r="B42" s="5" t="inlineStr">
        <is>
          <t>FR-CASE-008</t>
        </is>
      </c>
      <c r="C42" s="4" t="inlineStr">
        <is>
          <t>M8</t>
        </is>
      </c>
      <c r="D42" s="5" t="inlineStr">
        <is>
          <t>สมุดคดีของฉัน</t>
        </is>
      </c>
      <c r="E42" s="5" t="inlineStr">
        <is>
          <t>ลบคดี</t>
        </is>
      </c>
      <c r="F42" s="5" t="inlineStr">
        <is>
          <t>ระบบต้องให้ลบคดีพร้อมเอกสารแนบ (hard delete ภายใน 24 ชม. รวมไฟล์ใน storage) พร้อม confirm dialog ที่ต้องพิมพ์ชื่อเรื่องยืนยัน</t>
        </is>
      </c>
      <c r="G42" s="5" t="inlineStr">
        <is>
          <t>Must (ต้องมี)</t>
        </is>
      </c>
      <c r="H42" s="4" t="inlineStr">
        <is>
          <t>P2</t>
        </is>
      </c>
    </row>
    <row r="43" ht="27.5">
      <c r="A43" s="4" t="n">
        <v>39</v>
      </c>
      <c r="B43" s="5" t="inlineStr">
        <is>
          <t>FR-CASE-009</t>
        </is>
      </c>
      <c r="C43" s="4" t="inlineStr">
        <is>
          <t>M8</t>
        </is>
      </c>
      <c r="D43" s="5" t="inlineStr">
        <is>
          <t>สมุดคดีของฉัน</t>
        </is>
      </c>
      <c r="E43" s="5" t="inlineStr">
        <is>
          <t>ส่งออกสรุปคดี</t>
        </is>
      </c>
      <c r="F43" s="5" t="inlineStr">
        <is>
          <t>ระบบควรส่งออกสรุปคดีเป็น PDF (ข้อมูลเรื่อง, timeline, กำหนดเวลา, รายการเอกสาร) เพื่อนำไปปรึกษาทนาย/หน่วยงาน</t>
        </is>
      </c>
      <c r="G43" s="5" t="inlineStr">
        <is>
          <t>Should (ควรมี)</t>
        </is>
      </c>
      <c r="H43" s="4" t="inlineStr">
        <is>
          <t>P2</t>
        </is>
      </c>
    </row>
    <row r="44" ht="40">
      <c r="A44" s="4" t="n">
        <v>40</v>
      </c>
      <c r="B44" s="5" t="inlineStr">
        <is>
          <t>FR-HELP-001</t>
        </is>
      </c>
      <c r="C44" s="4" t="inlineStr">
        <is>
          <t>M9</t>
        </is>
      </c>
      <c r="D44" s="5" t="inlineStr">
        <is>
          <t>หน่วยงานช่วยเหลือ</t>
        </is>
      </c>
      <c r="E44" s="5" t="inlineStr">
        <is>
          <t>รายชื่อหน่วยงานช่วยเหลือ</t>
        </is>
      </c>
      <c r="F44" s="5" t="inlineStr">
        <is>
          <t>ระบบต้องแสดง /help: หน่วยงาน (ชื่อ, ประเภท, บริการ, ค่าใช้จ่าย ฟรี/มีค่าใช้จ่าย, เบอร์โทร, เว็บไซต์, LINE, ที่อยู่, เวลาทำการ, จังหวัดที่ให้บริการ) กรองตามจังหวัด/ประเภทปัญหา (หมวดกฎหมาย)</t>
        </is>
      </c>
      <c r="G44" s="5" t="inlineStr">
        <is>
          <t>Must (ต้องมี)</t>
        </is>
      </c>
      <c r="H44" s="4" t="inlineStr">
        <is>
          <t>P2</t>
        </is>
      </c>
    </row>
    <row r="45" ht="40">
      <c r="A45" s="4" t="n">
        <v>41</v>
      </c>
      <c r="B45" s="5" t="inlineStr">
        <is>
          <t>FR-HELP-002</t>
        </is>
      </c>
      <c r="C45" s="4" t="inlineStr">
        <is>
          <t>M9</t>
        </is>
      </c>
      <c r="D45" s="5" t="inlineStr">
        <is>
          <t>หน่วยงานช่วยเหลือ</t>
        </is>
      </c>
      <c r="E45" s="5" t="inlineStr">
        <is>
          <t>สายด่วนฉุกเฉิน</t>
        </is>
      </c>
      <c r="F45" s="5" t="inlineStr">
        <is>
          <t>ระบบต้องมีส่วน "ต้องการความช่วยเหลือเร่งด่วน" บนสุดของ /help และเข้าถึงได้จาก sidebar ทุกหน้า แสดงสายด่วนสำคัญ (ข้อมูลจาก kb.help_agencies ที่ติดธง emergency) ปุ่มโทรออกได้บนมือถือ</t>
        </is>
      </c>
      <c r="G45" s="5" t="inlineStr">
        <is>
          <t>Must (ต้องมี)</t>
        </is>
      </c>
      <c r="H45" s="4" t="inlineStr">
        <is>
          <t>P2</t>
        </is>
      </c>
    </row>
    <row r="46" ht="40">
      <c r="A46" s="4" t="n">
        <v>42</v>
      </c>
      <c r="B46" s="5" t="inlineStr">
        <is>
          <t>FR-HELP-003</t>
        </is>
      </c>
      <c r="C46" s="4" t="inlineStr">
        <is>
          <t>M9</t>
        </is>
      </c>
      <c r="D46" s="5" t="inlineStr">
        <is>
          <t>หน่วยงานช่วยเหลือ</t>
        </is>
      </c>
      <c r="E46" s="5" t="inlineStr">
        <is>
          <t>หน้ารายละเอียดหน่วยงาน</t>
        </is>
      </c>
      <c r="F46" s="5" t="inlineStr">
        <is>
          <t>ระบบต้องแสดงรายละเอียดหน่วยงาน: บริการ, คุณสมบัติผู้มีสิทธิรับบริการ (เช่น เกณฑ์รายได้ตามข้อมูลของหน่วยงาน), เอกสารที่ต้องเตรียม, ช่องทางติดต่อ, แผนที่, ลิงก์ทางการ</t>
        </is>
      </c>
      <c r="G46" s="5" t="inlineStr">
        <is>
          <t>Should (ควรมี)</t>
        </is>
      </c>
      <c r="H46" s="4" t="inlineStr">
        <is>
          <t>P2</t>
        </is>
      </c>
    </row>
    <row r="47">
      <c r="A47" s="4" t="n">
        <v>43</v>
      </c>
      <c r="B47" s="5" t="inlineStr">
        <is>
          <t>FR-HELP-004</t>
        </is>
      </c>
      <c r="C47" s="4" t="inlineStr">
        <is>
          <t>M9</t>
        </is>
      </c>
      <c r="D47" s="5" t="inlineStr">
        <is>
          <t>หน่วยงานช่วยเหลือ</t>
        </is>
      </c>
      <c r="E47" s="5" t="inlineStr">
        <is>
          <t>แจ้งข้อมูลติดต่อไม่ถูกต้อง</t>
        </is>
      </c>
      <c r="F47" s="5" t="inlineStr">
        <is>
          <t>ระบบต้องมีปุ่ม "แจ้งข้อมูลไม่ถูกต้อง" ต่อหน่วยงาน ส่งเข้าคิว editor</t>
        </is>
      </c>
      <c r="G47" s="5" t="inlineStr">
        <is>
          <t>Must (ต้องมี)</t>
        </is>
      </c>
      <c r="H47" s="4" t="inlineStr">
        <is>
          <t>P2</t>
        </is>
      </c>
    </row>
    <row r="48" ht="27.5">
      <c r="A48" s="4" t="n">
        <v>44</v>
      </c>
      <c r="B48" s="5" t="inlineStr">
        <is>
          <t>FR-HELP-005</t>
        </is>
      </c>
      <c r="C48" s="4" t="inlineStr">
        <is>
          <t>M9</t>
        </is>
      </c>
      <c r="D48" s="5" t="inlineStr">
        <is>
          <t>หน่วยงานช่วยเหลือ</t>
        </is>
      </c>
      <c r="E48" s="5" t="inlineStr">
        <is>
          <t>เชื่อมจากแชทและ Safety Notice</t>
        </is>
      </c>
      <c r="F48" s="5" t="inlineStr">
        <is>
          <t>ระบบต้องให้ safety notice (FR-CHAT-031) และ next-step card ลิงก์ไปหน่วยงานที่เกี่ยวข้อง โดยใช้ id จาก kb.help_agencies</t>
        </is>
      </c>
      <c r="G48" s="5" t="inlineStr">
        <is>
          <t>Must (ต้องมี)</t>
        </is>
      </c>
      <c r="H48" s="4" t="inlineStr">
        <is>
          <t>P2</t>
        </is>
      </c>
    </row>
    <row r="49" ht="40">
      <c r="A49" s="4" t="n">
        <v>45</v>
      </c>
      <c r="B49" s="5" t="inlineStr">
        <is>
          <t>FR-HELP-006</t>
        </is>
      </c>
      <c r="C49" s="4" t="inlineStr">
        <is>
          <t>M9</t>
        </is>
      </c>
      <c r="D49" s="5" t="inlineStr">
        <is>
          <t>หน่วยงานช่วยเหลือ</t>
        </is>
      </c>
      <c r="E49" s="5" t="inlineStr">
        <is>
          <t>สมุดรายชื่อทนายความ</t>
        </is>
      </c>
      <c r="F49" s="5" t="inlineStr">
        <is>
          <t>ระบบอาจมี directory ทนายความที่สมัครเข้าร่วมเอง (opt-in) แสดงเลขใบอนุญาตที่ได้รับการตรวจสอบ, ความเชี่ยวชาญ, พื้นที่, ช่องทางติดต่อ; ไม่มีการจ่ายเงินหรือจองผ่านระบบ และไม่จัดอันดับแบบชำระเงิน</t>
        </is>
      </c>
      <c r="G49" s="5" t="inlineStr">
        <is>
          <t>Could (อาจมี)</t>
        </is>
      </c>
      <c r="H49" s="4" t="inlineStr">
        <is>
          <t>P3</t>
        </is>
      </c>
    </row>
    <row r="50" ht="40">
      <c r="A50" s="4" t="n">
        <v>46</v>
      </c>
      <c r="B50" s="5" t="inlineStr">
        <is>
          <t>FR-ADM-006</t>
        </is>
      </c>
      <c r="C50" s="4" t="inlineStr">
        <is>
          <t>M10</t>
        </is>
      </c>
      <c r="D50" s="5" t="inlineStr">
        <is>
          <t>ระบบหลังบ้าน</t>
        </is>
      </c>
      <c r="E50" s="5" t="inlineStr">
        <is>
          <t>ตั้งเวลาเผยแพร่และรอบทบทวน</t>
        </is>
      </c>
      <c r="F50" s="5" t="inlineStr">
        <is>
          <t>ระบบต้องให้ตั้ง publish_at (เผยแพร่ตามเวลา) และ review_due_at (ค่าเริ่มต้นตาม BR-008) และมีรายการ "ใกล้ถึง/เลยรอบทบทวน" พร้อมแจ้งเตือน reviewer รายสัปดาห์</t>
        </is>
      </c>
      <c r="G50" s="5" t="inlineStr">
        <is>
          <t>Should (ควรมี)</t>
        </is>
      </c>
      <c r="H50" s="4" t="inlineStr">
        <is>
          <t>P2</t>
        </is>
      </c>
    </row>
    <row r="51" ht="52.5">
      <c r="A51" s="4" t="n">
        <v>47</v>
      </c>
      <c r="B51" s="5" t="inlineStr">
        <is>
          <t>FR-ADM-010</t>
        </is>
      </c>
      <c r="C51" s="4" t="inlineStr">
        <is>
          <t>M10</t>
        </is>
      </c>
      <c r="D51" s="5" t="inlineStr">
        <is>
          <t>ระบบหลังบ้าน</t>
        </is>
      </c>
      <c r="E51" s="5" t="inlineStr">
        <is>
          <t>จัดการข้อมูลอ้างอิง (Reference Data)</t>
        </is>
      </c>
      <c r="F51" s="5" t="inlineStr">
        <is>
          <t>ระบบต้องมีหน้าจัดการตารางค่าธรรมเนียมศาล, กฎอายุความ, กฎเขตอำนาจศาล, กฎความเสี่ยงของแบบฟอร์ม, ข้อมูลศาล และหน่วยงาน — ทุกแถวมี citation, effective_from/to, และผ่าน review workflow เดียวกับเนื้อหา; มีหน้า test case ต่อชุดกฎ (input → expected) ที่ต้องผ่านทั้งหมดก่อนอนุมัติ</t>
        </is>
      </c>
      <c r="G51" s="5" t="inlineStr">
        <is>
          <t>Must (ต้องมี)</t>
        </is>
      </c>
      <c r="H51" s="4" t="inlineStr">
        <is>
          <t>P2</t>
        </is>
      </c>
    </row>
    <row r="52" ht="52.5">
      <c r="A52" s="4" t="n">
        <v>48</v>
      </c>
      <c r="B52" s="5" t="inlineStr">
        <is>
          <t>FR-ADM-014</t>
        </is>
      </c>
      <c r="C52" s="4" t="inlineStr">
        <is>
          <t>M10</t>
        </is>
      </c>
      <c r="D52" s="5" t="inlineStr">
        <is>
          <t>ระบบหลังบ้าน</t>
        </is>
      </c>
      <c r="E52" s="5" t="inlineStr">
        <is>
          <t>ตั้งค่าระบบและ Quota ผ่านหลังบ้าน</t>
        </is>
      </c>
      <c r="F52" s="5" t="inlineStr">
        <is>
          <t>ระบบต้องให้ admin ตั้งค่า threshold retrieval, top-k, quota ต่อ role, จำนวน stream พร้อมกัน และเปิด/ปิดฟีเจอร์ผ่านหน้าหลังบ้าน (เก็บใน app.system_settings) เปลี่ยนแล้วมีผลโดยไม่ restart และบันทึก audit — ปัจจุบันตั้งผ่าน env (สวิตช์ฉุกเฉินมีแล้วใน FR-ADM-024)</t>
        </is>
      </c>
      <c r="G52" s="5" t="inlineStr">
        <is>
          <t>Should (ควรมี)</t>
        </is>
      </c>
      <c r="H52" s="4" t="inlineStr">
        <is>
          <t>P2</t>
        </is>
      </c>
    </row>
    <row r="53" ht="40">
      <c r="A53" s="4" t="n">
        <v>49</v>
      </c>
      <c r="B53" s="5" t="inlineStr">
        <is>
          <t>FR-ADM-019</t>
        </is>
      </c>
      <c r="C53" s="4" t="inlineStr">
        <is>
          <t>M10</t>
        </is>
      </c>
      <c r="D53" s="5" t="inlineStr">
        <is>
          <t>ระบบหลังบ้าน</t>
        </is>
      </c>
      <c r="E53" s="5" t="inlineStr">
        <is>
          <t>Analytics และ Knowledge Gap</t>
        </is>
      </c>
      <c r="F53" s="5" t="inlineStr">
        <is>
          <t>ระบบต้องแสดงหมวด/หัวข้อที่ถูกถามบ่อย (จากการจัดหมวดของระบบ ไม่ใช่ข้อความดิบ), คำถามที่ retrieval ไม่พบข้อมูล (FR-AI-004) จัดกลุ่มตามความคล้ายพร้อมจำนวน, เนื้อหาที่ถูกเปิดมากที่สุด, funnel ของคู่มือ/หลักสูตร</t>
        </is>
      </c>
      <c r="G53" s="5" t="inlineStr">
        <is>
          <t>Should (ควรมี)</t>
        </is>
      </c>
      <c r="H53" s="4" t="inlineStr">
        <is>
          <t>P2</t>
        </is>
      </c>
    </row>
    <row r="54" ht="40">
      <c r="A54" s="4" t="n">
        <v>50</v>
      </c>
      <c r="B54" s="5" t="inlineStr">
        <is>
          <t>FR-ADM-020</t>
        </is>
      </c>
      <c r="C54" s="4" t="inlineStr">
        <is>
          <t>M10</t>
        </is>
      </c>
      <c r="D54" s="5" t="inlineStr">
        <is>
          <t>ระบบหลังบ้าน</t>
        </is>
      </c>
      <c r="E54" s="5" t="inlineStr">
        <is>
          <t>Authoring หลักสูตรและ Quiz</t>
        </is>
      </c>
      <c r="F54" s="5" t="inlineStr">
        <is>
          <t>ระบบต้องให้สร้างหลักสูตร (ลำดับบทเรียน, โหมด sequential/free), บทเรียน, คำถาม quiz (ชนิด, ตัวเลือก, เฉลย, คำอธิบาย, citation, เกณฑ์ผ่าน) ผ่าน review workflow</t>
        </is>
      </c>
      <c r="G54" s="5" t="inlineStr">
        <is>
          <t>Must (ต้องมี)</t>
        </is>
      </c>
      <c r="H54" s="4" t="inlineStr">
        <is>
          <t>P2</t>
        </is>
      </c>
    </row>
  </sheetData>
  <autoFilter ref="A4:H54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2026-09-24T10:44:07Z</dcterms:created>
  <dcterms:modified xsi:type="dcterms:W3CDTF">2026-10-01T13:28:03Z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0x01010038855309BCF2DF46A5FEF75C4200CEFB</vt:lpwstr>
  </property>
</Properties>
</file>